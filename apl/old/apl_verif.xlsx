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onta\git-CVC\Skema\git-skema\apl\"/>
    </mc:Choice>
  </mc:AlternateContent>
  <xr:revisionPtr revIDLastSave="0" documentId="13_ncr:1_{E7F404D6-E55A-4BA9-8433-A40F20EA1E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 Roq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3" i="1" l="1"/>
  <c r="L212" i="1"/>
  <c r="H116" i="1"/>
  <c r="H115" i="1"/>
  <c r="H85" i="1"/>
  <c r="A226" i="1"/>
  <c r="K193" i="1"/>
  <c r="K177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42" i="1"/>
  <c r="D81" i="1"/>
  <c r="E81" i="1"/>
  <c r="F81" i="1"/>
  <c r="G81" i="1"/>
  <c r="H81" i="1"/>
  <c r="I81" i="1"/>
  <c r="J81" i="1"/>
  <c r="K81" i="1"/>
  <c r="L81" i="1"/>
  <c r="C81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</calcChain>
</file>

<file path=xl/sharedStrings.xml><?xml version="1.0" encoding="utf-8"?>
<sst xmlns="http://schemas.openxmlformats.org/spreadsheetml/2006/main" count="231" uniqueCount="97">
  <si>
    <t>iris</t>
  </si>
  <si>
    <t>iris_string</t>
  </si>
  <si>
    <t>code_commune</t>
  </si>
  <si>
    <t>type_iris</t>
  </si>
  <si>
    <t>pop</t>
  </si>
  <si>
    <t>pop0002</t>
  </si>
  <si>
    <t>pop0305</t>
  </si>
  <si>
    <t>pop0610</t>
  </si>
  <si>
    <t>pop1117</t>
  </si>
  <si>
    <t>pop1824</t>
  </si>
  <si>
    <t>pop2539</t>
  </si>
  <si>
    <t>pop4054</t>
  </si>
  <si>
    <t>pop5564</t>
  </si>
  <si>
    <t>pop6579</t>
  </si>
  <si>
    <t>pop80p</t>
  </si>
  <si>
    <t>061070000</t>
  </si>
  <si>
    <t>06107</t>
  </si>
  <si>
    <t>C</t>
  </si>
  <si>
    <t>Cabinets chez le voisin</t>
  </si>
  <si>
    <t>id</t>
  </si>
  <si>
    <t>nom</t>
  </si>
  <si>
    <t>prenom</t>
  </si>
  <si>
    <t>dept_id</t>
  </si>
  <si>
    <t>adresse_norm_id</t>
  </si>
  <si>
    <t>lon</t>
  </si>
  <si>
    <t>lat</t>
  </si>
  <si>
    <t>code_mode_exercice</t>
  </si>
  <si>
    <t>RAMEAU</t>
  </si>
  <si>
    <t>HUGUES</t>
  </si>
  <si>
    <t>L</t>
  </si>
  <si>
    <t>CASTEL</t>
  </si>
  <si>
    <t>MARIE</t>
  </si>
  <si>
    <t>Calcul des poids des cabinets pour 06106</t>
  </si>
  <si>
    <t>key</t>
  </si>
  <si>
    <t>nb_cabinet</t>
  </si>
  <si>
    <t>weight</t>
  </si>
  <si>
    <t>nb</t>
  </si>
  <si>
    <t>17279_L_43.874329_7.006119</t>
  </si>
  <si>
    <t>365191_L_43.874329_7.006119</t>
  </si>
  <si>
    <t>nb = sum(weight) group by iris</t>
  </si>
  <si>
    <t>Drop duplicate iris</t>
  </si>
  <si>
    <t>iris1</t>
  </si>
  <si>
    <t>iris2</t>
  </si>
  <si>
    <t>km</t>
  </si>
  <si>
    <t>time</t>
  </si>
  <si>
    <t>accessibilite_weight</t>
  </si>
  <si>
    <t>pop_gp</t>
  </si>
  <si>
    <t>Verif</t>
  </si>
  <si>
    <t>Merge with pop_iris</t>
  </si>
  <si>
    <t>Over representation from DAMIR</t>
  </si>
  <si>
    <t>year</t>
  </si>
  <si>
    <t>psp_spe_snds</t>
  </si>
  <si>
    <t>p0002</t>
  </si>
  <si>
    <t>p0305</t>
  </si>
  <si>
    <t>p0610</t>
  </si>
  <si>
    <t>p1117</t>
  </si>
  <si>
    <t>p1824</t>
  </si>
  <si>
    <t>p2539</t>
  </si>
  <si>
    <t>p4054</t>
  </si>
  <si>
    <t>p5564</t>
  </si>
  <si>
    <t>p6579</t>
  </si>
  <si>
    <t>p80p</t>
  </si>
  <si>
    <t>Normalisation</t>
  </si>
  <si>
    <t>Calcul de pop ajustee (pop_gp)</t>
  </si>
  <si>
    <t>wpop</t>
  </si>
  <si>
    <t>swpop</t>
  </si>
  <si>
    <t>R</t>
  </si>
  <si>
    <t>Jointure avec le nombre nb de cabinet de 06106</t>
  </si>
  <si>
    <t>Calcul wpop = accessibilite * nb pour 06106 et 06107</t>
  </si>
  <si>
    <t>swpop = sum(wpop) group by iris1</t>
  </si>
  <si>
    <t>Je recherche toutes les communes à moins de 30 min de 06107 avec un R &gt; 0</t>
  </si>
  <si>
    <t>nb_dest</t>
  </si>
  <si>
    <t>R_dest</t>
  </si>
  <si>
    <t>swpop_dest</t>
  </si>
  <si>
    <t>wpop_dest</t>
  </si>
  <si>
    <t>ap</t>
  </si>
  <si>
    <t>ap = accessibilite * R</t>
  </si>
  <si>
    <t>APL = sum(ap)</t>
  </si>
  <si>
    <t>Application de exp(-0.12*time) pour 30 min</t>
  </si>
  <si>
    <t>Calcul de la diff</t>
  </si>
  <si>
    <t>ok</t>
  </si>
  <si>
    <t>Diff</t>
  </si>
  <si>
    <t>Calcul de R = nb * 100000 / swpop  en ne gardant que iris1==iris2</t>
  </si>
  <si>
    <t>négligeable</t>
  </si>
  <si>
    <t>La Roque en Provence</t>
  </si>
  <si>
    <t>Merge sur iris_matrix, toutes les communes à moins de 30 min de iris2, surligné en vert les lignes qui vont avoir de l'importance dans le calcul</t>
  </si>
  <si>
    <t>J'ai vérifié ce calcul plusieurs fois, il semble juste, de plus il baisse peu la population de cet iris car il n'y a pas de 80+, a peu d'impact sur le résultat final</t>
  </si>
  <si>
    <t>Même calcul sur la destination de la commune voisine 06106 Roquesteron</t>
  </si>
  <si>
    <t>Calcul vérifié, ca augmente car beaucoup de vieux, a un impact moyen sur le résultat final</t>
  </si>
  <si>
    <t>Gros impact sur le résultat final</t>
  </si>
  <si>
    <t>Négligeable trop loin</t>
  </si>
  <si>
    <t>Vérifié sur ps_libreacces 2303 à la main</t>
  </si>
  <si>
    <t>inpp</t>
  </si>
  <si>
    <t>810100986511</t>
  </si>
  <si>
    <t>810005181937</t>
  </si>
  <si>
    <t>Possède 1 seul cabinet en France</t>
  </si>
  <si>
    <t>Possède 2 cabinets en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</si>
</sst>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6"/>
  <sheetViews>
    <sheetView tabSelected="1" workbookViewId="0">
      <selection activeCell="P12" sqref="P12"/>
    </sheetView>
  </sheetViews>
  <sheetFormatPr baseColWidth="10" defaultColWidth="8.88671875" defaultRowHeight="14.4" x14ac:dyDescent="0.3"/>
  <cols>
    <col min="3" max="3" width="14.44140625" customWidth="1"/>
    <col min="5" max="5" width="17.88671875" customWidth="1"/>
  </cols>
  <sheetData>
    <row r="1" spans="1:16" x14ac:dyDescent="0.3">
      <c r="A1" t="s">
        <v>0</v>
      </c>
      <c r="B1">
        <v>6107000</v>
      </c>
      <c r="C1" t="s">
        <v>84</v>
      </c>
    </row>
    <row r="3" spans="1:1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1:16" x14ac:dyDescent="0.3">
      <c r="A4">
        <v>61070000</v>
      </c>
      <c r="B4" t="s">
        <v>15</v>
      </c>
      <c r="C4" t="s">
        <v>16</v>
      </c>
      <c r="D4" t="s">
        <v>17</v>
      </c>
      <c r="E4">
        <v>65</v>
      </c>
      <c r="F4">
        <v>4.0625</v>
      </c>
      <c r="G4">
        <v>1.015625</v>
      </c>
      <c r="H4">
        <v>0</v>
      </c>
      <c r="I4">
        <v>6.09375</v>
      </c>
      <c r="J4">
        <v>3.046875</v>
      </c>
      <c r="K4">
        <v>9.140625</v>
      </c>
      <c r="L4">
        <v>20.3125</v>
      </c>
      <c r="M4">
        <v>7.109375</v>
      </c>
      <c r="N4">
        <v>14.21875</v>
      </c>
      <c r="O4">
        <v>0</v>
      </c>
    </row>
    <row r="6" spans="1:16" x14ac:dyDescent="0.3">
      <c r="A6" t="s">
        <v>18</v>
      </c>
      <c r="D6" s="2"/>
    </row>
    <row r="7" spans="1:16" x14ac:dyDescent="0.3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0</v>
      </c>
      <c r="G7" s="1" t="s">
        <v>24</v>
      </c>
      <c r="H7" s="1" t="s">
        <v>25</v>
      </c>
      <c r="I7" s="1" t="s">
        <v>26</v>
      </c>
    </row>
    <row r="8" spans="1:16" x14ac:dyDescent="0.3">
      <c r="A8">
        <v>17279</v>
      </c>
      <c r="B8" t="s">
        <v>27</v>
      </c>
      <c r="C8" t="s">
        <v>28</v>
      </c>
      <c r="D8">
        <v>6</v>
      </c>
      <c r="E8">
        <v>587369</v>
      </c>
      <c r="F8">
        <v>61060000</v>
      </c>
      <c r="G8">
        <v>7.006119</v>
      </c>
      <c r="H8">
        <v>43.874329000000003</v>
      </c>
      <c r="I8" t="s">
        <v>29</v>
      </c>
    </row>
    <row r="9" spans="1:16" x14ac:dyDescent="0.3">
      <c r="A9">
        <v>365191</v>
      </c>
      <c r="B9" t="s">
        <v>30</v>
      </c>
      <c r="C9" t="s">
        <v>31</v>
      </c>
      <c r="D9">
        <v>6</v>
      </c>
      <c r="E9">
        <v>587369</v>
      </c>
      <c r="F9">
        <v>61060000</v>
      </c>
      <c r="G9">
        <v>7.006119</v>
      </c>
      <c r="H9">
        <v>43.874329000000003</v>
      </c>
      <c r="I9" t="s">
        <v>29</v>
      </c>
    </row>
    <row r="11" spans="1:16" x14ac:dyDescent="0.3">
      <c r="A11" t="s">
        <v>32</v>
      </c>
      <c r="E11" t="s">
        <v>39</v>
      </c>
    </row>
    <row r="12" spans="1:16" x14ac:dyDescent="0.3">
      <c r="B12" s="3" t="s">
        <v>19</v>
      </c>
      <c r="C12" s="1" t="s">
        <v>92</v>
      </c>
      <c r="D12" s="3" t="s">
        <v>20</v>
      </c>
      <c r="E12" s="3" t="s">
        <v>21</v>
      </c>
      <c r="F12" s="3" t="s">
        <v>22</v>
      </c>
      <c r="G12" s="3" t="s">
        <v>23</v>
      </c>
      <c r="H12" s="3" t="s">
        <v>0</v>
      </c>
      <c r="I12" s="3" t="s">
        <v>24</v>
      </c>
      <c r="J12" s="3" t="s">
        <v>25</v>
      </c>
      <c r="K12" s="3" t="s">
        <v>26</v>
      </c>
      <c r="L12" s="3" t="s">
        <v>33</v>
      </c>
      <c r="M12" s="3" t="s">
        <v>34</v>
      </c>
      <c r="N12" s="3" t="s">
        <v>35</v>
      </c>
      <c r="O12" s="3" t="s">
        <v>36</v>
      </c>
      <c r="P12" s="8" t="s">
        <v>91</v>
      </c>
    </row>
    <row r="13" spans="1:16" x14ac:dyDescent="0.3">
      <c r="A13" s="3">
        <v>1886</v>
      </c>
      <c r="B13">
        <v>17279</v>
      </c>
      <c r="C13" s="9" t="s">
        <v>93</v>
      </c>
      <c r="D13" t="s">
        <v>27</v>
      </c>
      <c r="E13" t="s">
        <v>28</v>
      </c>
      <c r="F13">
        <v>6</v>
      </c>
      <c r="G13">
        <v>587369</v>
      </c>
      <c r="H13">
        <v>61060000</v>
      </c>
      <c r="I13">
        <v>7.006119</v>
      </c>
      <c r="J13">
        <v>43.874329000000003</v>
      </c>
      <c r="K13" t="s">
        <v>29</v>
      </c>
      <c r="L13" t="s">
        <v>37</v>
      </c>
      <c r="M13">
        <v>1</v>
      </c>
      <c r="N13">
        <v>1</v>
      </c>
      <c r="O13">
        <v>1.5</v>
      </c>
      <c r="P13" t="s">
        <v>95</v>
      </c>
    </row>
    <row r="14" spans="1:16" x14ac:dyDescent="0.3">
      <c r="A14" s="3">
        <v>36395</v>
      </c>
      <c r="B14">
        <v>365191</v>
      </c>
      <c r="C14" s="9" t="s">
        <v>94</v>
      </c>
      <c r="D14" t="s">
        <v>30</v>
      </c>
      <c r="E14" t="s">
        <v>31</v>
      </c>
      <c r="F14">
        <v>6</v>
      </c>
      <c r="G14">
        <v>587369</v>
      </c>
      <c r="H14">
        <v>61060000</v>
      </c>
      <c r="I14">
        <v>7.006119</v>
      </c>
      <c r="J14">
        <v>43.874329000000003</v>
      </c>
      <c r="K14" t="s">
        <v>29</v>
      </c>
      <c r="L14" t="s">
        <v>38</v>
      </c>
      <c r="M14">
        <v>2</v>
      </c>
      <c r="N14">
        <v>0.5</v>
      </c>
      <c r="O14">
        <v>1.5</v>
      </c>
      <c r="P14" t="s">
        <v>96</v>
      </c>
    </row>
    <row r="16" spans="1:16" x14ac:dyDescent="0.3">
      <c r="A16" t="s">
        <v>40</v>
      </c>
    </row>
    <row r="17" spans="1:4" x14ac:dyDescent="0.3">
      <c r="B17" s="3" t="s">
        <v>0</v>
      </c>
      <c r="C17" s="3" t="s">
        <v>36</v>
      </c>
    </row>
    <row r="18" spans="1:4" x14ac:dyDescent="0.3">
      <c r="A18" s="3">
        <v>1886</v>
      </c>
      <c r="B18">
        <v>61060000</v>
      </c>
      <c r="C18">
        <v>1.5</v>
      </c>
    </row>
    <row r="20" spans="1:4" x14ac:dyDescent="0.3">
      <c r="A20" t="s">
        <v>85</v>
      </c>
    </row>
    <row r="21" spans="1:4" x14ac:dyDescent="0.3">
      <c r="A21" s="3" t="s">
        <v>41</v>
      </c>
      <c r="B21" s="3" t="s">
        <v>42</v>
      </c>
      <c r="C21" s="3" t="s">
        <v>43</v>
      </c>
      <c r="D21" s="3" t="s">
        <v>44</v>
      </c>
    </row>
    <row r="22" spans="1:4" x14ac:dyDescent="0.3">
      <c r="A22">
        <v>60930000</v>
      </c>
      <c r="B22">
        <v>61070000</v>
      </c>
      <c r="C22">
        <v>17</v>
      </c>
      <c r="D22">
        <v>23</v>
      </c>
    </row>
    <row r="23" spans="1:4" x14ac:dyDescent="0.3">
      <c r="A23">
        <v>60660000</v>
      </c>
      <c r="B23">
        <v>61070000</v>
      </c>
      <c r="C23">
        <v>22</v>
      </c>
      <c r="D23">
        <v>27</v>
      </c>
    </row>
    <row r="24" spans="1:4" x14ac:dyDescent="0.3">
      <c r="A24">
        <v>60610000</v>
      </c>
      <c r="B24">
        <v>61070000</v>
      </c>
      <c r="C24">
        <v>14</v>
      </c>
      <c r="D24">
        <v>26</v>
      </c>
    </row>
    <row r="25" spans="1:4" x14ac:dyDescent="0.3">
      <c r="A25">
        <v>61310000</v>
      </c>
      <c r="B25">
        <v>61070000</v>
      </c>
      <c r="C25">
        <v>16</v>
      </c>
      <c r="D25">
        <v>22</v>
      </c>
    </row>
    <row r="26" spans="1:4" x14ac:dyDescent="0.3">
      <c r="A26">
        <v>60520000</v>
      </c>
      <c r="B26">
        <v>61070000</v>
      </c>
      <c r="C26">
        <v>4</v>
      </c>
      <c r="D26">
        <v>6</v>
      </c>
    </row>
    <row r="27" spans="1:4" s="4" customFormat="1" x14ac:dyDescent="0.3">
      <c r="A27" s="4">
        <v>61060000</v>
      </c>
      <c r="B27" s="4">
        <v>61070000</v>
      </c>
      <c r="C27" s="4">
        <v>1</v>
      </c>
      <c r="D27" s="4">
        <v>2</v>
      </c>
    </row>
    <row r="28" spans="1:4" x14ac:dyDescent="0.3">
      <c r="A28">
        <v>60450000</v>
      </c>
      <c r="B28">
        <v>61070000</v>
      </c>
      <c r="C28">
        <v>19</v>
      </c>
      <c r="D28">
        <v>26</v>
      </c>
    </row>
    <row r="29" spans="1:4" x14ac:dyDescent="0.3">
      <c r="A29">
        <v>60470000</v>
      </c>
      <c r="B29">
        <v>61070000</v>
      </c>
      <c r="C29">
        <v>9</v>
      </c>
      <c r="D29">
        <v>20</v>
      </c>
    </row>
    <row r="30" spans="1:4" x14ac:dyDescent="0.3">
      <c r="A30">
        <v>60870000</v>
      </c>
      <c r="B30">
        <v>61070000</v>
      </c>
      <c r="C30">
        <v>21</v>
      </c>
      <c r="D30">
        <v>28</v>
      </c>
    </row>
    <row r="31" spans="1:4" x14ac:dyDescent="0.3">
      <c r="A31">
        <v>41700000</v>
      </c>
      <c r="B31">
        <v>61070000</v>
      </c>
      <c r="C31">
        <v>19</v>
      </c>
      <c r="D31">
        <v>26</v>
      </c>
    </row>
    <row r="32" spans="1:4" x14ac:dyDescent="0.3">
      <c r="A32">
        <v>60010000</v>
      </c>
      <c r="B32">
        <v>61070000</v>
      </c>
      <c r="C32">
        <v>12</v>
      </c>
      <c r="D32">
        <v>16</v>
      </c>
    </row>
    <row r="33" spans="1:7" x14ac:dyDescent="0.3">
      <c r="A33">
        <v>61350000</v>
      </c>
      <c r="B33">
        <v>61070000</v>
      </c>
      <c r="C33">
        <v>6</v>
      </c>
      <c r="D33">
        <v>9</v>
      </c>
    </row>
    <row r="34" spans="1:7" s="4" customFormat="1" x14ac:dyDescent="0.3">
      <c r="A34" s="4">
        <v>61070000</v>
      </c>
      <c r="B34" s="4">
        <v>61070000</v>
      </c>
      <c r="C34" s="4">
        <v>0</v>
      </c>
      <c r="D34" s="4">
        <v>0</v>
      </c>
    </row>
    <row r="35" spans="1:7" x14ac:dyDescent="0.3">
      <c r="A35">
        <v>61150000</v>
      </c>
      <c r="B35">
        <v>61070000</v>
      </c>
      <c r="C35">
        <v>17</v>
      </c>
      <c r="D35">
        <v>26</v>
      </c>
    </row>
    <row r="36" spans="1:7" x14ac:dyDescent="0.3">
      <c r="A36">
        <v>60970000</v>
      </c>
      <c r="B36">
        <v>61070000</v>
      </c>
      <c r="C36">
        <v>14</v>
      </c>
      <c r="D36">
        <v>18</v>
      </c>
    </row>
    <row r="37" spans="1:7" x14ac:dyDescent="0.3">
      <c r="A37">
        <v>41940000</v>
      </c>
      <c r="B37">
        <v>61070000</v>
      </c>
      <c r="C37">
        <v>15</v>
      </c>
      <c r="D37">
        <v>19</v>
      </c>
    </row>
    <row r="39" spans="1:7" x14ac:dyDescent="0.3">
      <c r="A39" t="s">
        <v>78</v>
      </c>
    </row>
    <row r="40" spans="1:7" x14ac:dyDescent="0.3">
      <c r="A40" s="3" t="s">
        <v>41</v>
      </c>
      <c r="B40" s="3" t="s">
        <v>42</v>
      </c>
      <c r="C40" s="3" t="s">
        <v>43</v>
      </c>
      <c r="D40" s="3" t="s">
        <v>44</v>
      </c>
      <c r="E40" s="7" t="s">
        <v>45</v>
      </c>
      <c r="F40" s="5" t="s">
        <v>47</v>
      </c>
    </row>
    <row r="41" spans="1:7" x14ac:dyDescent="0.3">
      <c r="A41">
        <v>60930000</v>
      </c>
      <c r="B41">
        <v>61070000</v>
      </c>
      <c r="C41">
        <v>17</v>
      </c>
      <c r="D41">
        <v>23</v>
      </c>
      <c r="E41">
        <v>6.3291768359640732E-2</v>
      </c>
      <c r="F41">
        <f t="shared" ref="F41:F56" si="0">EXP(-0.12*D41)</f>
        <v>6.3291768359640732E-2</v>
      </c>
      <c r="G41" t="s">
        <v>80</v>
      </c>
    </row>
    <row r="42" spans="1:7" x14ac:dyDescent="0.3">
      <c r="A42">
        <v>60660000</v>
      </c>
      <c r="B42">
        <v>61070000</v>
      </c>
      <c r="C42">
        <v>22</v>
      </c>
      <c r="D42">
        <v>27</v>
      </c>
      <c r="E42">
        <v>3.916389509898708E-2</v>
      </c>
      <c r="F42">
        <f t="shared" si="0"/>
        <v>3.916389509898708E-2</v>
      </c>
    </row>
    <row r="43" spans="1:7" x14ac:dyDescent="0.3">
      <c r="A43">
        <v>60610000</v>
      </c>
      <c r="B43">
        <v>61070000</v>
      </c>
      <c r="C43">
        <v>14</v>
      </c>
      <c r="D43">
        <v>26</v>
      </c>
      <c r="E43">
        <v>4.415716841969286E-2</v>
      </c>
      <c r="F43">
        <f t="shared" si="0"/>
        <v>4.415716841969286E-2</v>
      </c>
    </row>
    <row r="44" spans="1:7" x14ac:dyDescent="0.3">
      <c r="A44">
        <v>61310000</v>
      </c>
      <c r="B44">
        <v>61070000</v>
      </c>
      <c r="C44">
        <v>16</v>
      </c>
      <c r="D44">
        <v>22</v>
      </c>
      <c r="E44">
        <v>7.1361269556386081E-2</v>
      </c>
      <c r="F44">
        <f t="shared" si="0"/>
        <v>7.1361269556386081E-2</v>
      </c>
    </row>
    <row r="45" spans="1:7" x14ac:dyDescent="0.3">
      <c r="A45">
        <v>60520000</v>
      </c>
      <c r="B45">
        <v>61070000</v>
      </c>
      <c r="C45">
        <v>4</v>
      </c>
      <c r="D45">
        <v>6</v>
      </c>
      <c r="E45">
        <v>0.48675225595997168</v>
      </c>
      <c r="F45">
        <f t="shared" si="0"/>
        <v>0.48675225595997168</v>
      </c>
    </row>
    <row r="46" spans="1:7" s="4" customFormat="1" x14ac:dyDescent="0.3">
      <c r="A46" s="4">
        <v>61060000</v>
      </c>
      <c r="B46" s="4">
        <v>61070000</v>
      </c>
      <c r="C46" s="4">
        <v>1</v>
      </c>
      <c r="D46" s="4">
        <v>2</v>
      </c>
      <c r="E46" s="4">
        <v>0.78662786106655347</v>
      </c>
      <c r="F46" s="4">
        <f t="shared" si="0"/>
        <v>0.78662786106655347</v>
      </c>
    </row>
    <row r="47" spans="1:7" x14ac:dyDescent="0.3">
      <c r="A47">
        <v>60450000</v>
      </c>
      <c r="B47">
        <v>61070000</v>
      </c>
      <c r="C47">
        <v>19</v>
      </c>
      <c r="D47">
        <v>26</v>
      </c>
      <c r="E47">
        <v>4.415716841969286E-2</v>
      </c>
      <c r="F47">
        <f t="shared" si="0"/>
        <v>4.415716841969286E-2</v>
      </c>
    </row>
    <row r="48" spans="1:7" x14ac:dyDescent="0.3">
      <c r="A48">
        <v>60470000</v>
      </c>
      <c r="B48">
        <v>61070000</v>
      </c>
      <c r="C48">
        <v>9</v>
      </c>
      <c r="D48">
        <v>20</v>
      </c>
      <c r="E48">
        <v>9.0717953289412512E-2</v>
      </c>
      <c r="F48">
        <f t="shared" si="0"/>
        <v>9.0717953289412512E-2</v>
      </c>
    </row>
    <row r="49" spans="1:16" x14ac:dyDescent="0.3">
      <c r="A49">
        <v>60870000</v>
      </c>
      <c r="B49">
        <v>61070000</v>
      </c>
      <c r="C49">
        <v>21</v>
      </c>
      <c r="D49">
        <v>28</v>
      </c>
      <c r="E49">
        <v>3.4735258944738563E-2</v>
      </c>
      <c r="F49">
        <f t="shared" si="0"/>
        <v>3.4735258944738563E-2</v>
      </c>
    </row>
    <row r="50" spans="1:16" x14ac:dyDescent="0.3">
      <c r="A50">
        <v>41700000</v>
      </c>
      <c r="B50">
        <v>61070000</v>
      </c>
      <c r="C50">
        <v>19</v>
      </c>
      <c r="D50">
        <v>26</v>
      </c>
      <c r="E50">
        <v>4.415716841969286E-2</v>
      </c>
      <c r="F50">
        <f t="shared" si="0"/>
        <v>4.415716841969286E-2</v>
      </c>
    </row>
    <row r="51" spans="1:16" x14ac:dyDescent="0.3">
      <c r="A51">
        <v>60010000</v>
      </c>
      <c r="B51">
        <v>61070000</v>
      </c>
      <c r="C51">
        <v>12</v>
      </c>
      <c r="D51">
        <v>16</v>
      </c>
      <c r="E51">
        <v>0.14660696213035021</v>
      </c>
      <c r="F51">
        <f t="shared" si="0"/>
        <v>0.14660696213035015</v>
      </c>
    </row>
    <row r="52" spans="1:16" x14ac:dyDescent="0.3">
      <c r="A52">
        <v>61350000</v>
      </c>
      <c r="B52">
        <v>61070000</v>
      </c>
      <c r="C52">
        <v>6</v>
      </c>
      <c r="D52">
        <v>9</v>
      </c>
      <c r="E52">
        <v>0.33959552564493911</v>
      </c>
      <c r="F52">
        <f t="shared" si="0"/>
        <v>0.33959552564493911</v>
      </c>
    </row>
    <row r="53" spans="1:16" s="4" customFormat="1" x14ac:dyDescent="0.3">
      <c r="A53" s="4">
        <v>61070000</v>
      </c>
      <c r="B53" s="4">
        <v>61070000</v>
      </c>
      <c r="C53" s="4">
        <v>0</v>
      </c>
      <c r="D53" s="4">
        <v>0</v>
      </c>
      <c r="E53" s="4">
        <v>1</v>
      </c>
      <c r="F53" s="4">
        <f t="shared" si="0"/>
        <v>1</v>
      </c>
    </row>
    <row r="54" spans="1:16" x14ac:dyDescent="0.3">
      <c r="A54">
        <v>61150000</v>
      </c>
      <c r="B54">
        <v>61070000</v>
      </c>
      <c r="C54">
        <v>17</v>
      </c>
      <c r="D54">
        <v>26</v>
      </c>
      <c r="E54">
        <v>4.415716841969286E-2</v>
      </c>
      <c r="F54">
        <f t="shared" si="0"/>
        <v>4.415716841969286E-2</v>
      </c>
    </row>
    <row r="55" spans="1:16" x14ac:dyDescent="0.3">
      <c r="A55">
        <v>60970000</v>
      </c>
      <c r="B55">
        <v>61070000</v>
      </c>
      <c r="C55">
        <v>14</v>
      </c>
      <c r="D55">
        <v>18</v>
      </c>
      <c r="E55">
        <v>0.1153251210380625</v>
      </c>
      <c r="F55">
        <f t="shared" si="0"/>
        <v>0.11532512103806251</v>
      </c>
    </row>
    <row r="56" spans="1:16" x14ac:dyDescent="0.3">
      <c r="A56">
        <v>41940000</v>
      </c>
      <c r="B56">
        <v>61070000</v>
      </c>
      <c r="C56">
        <v>15</v>
      </c>
      <c r="D56">
        <v>19</v>
      </c>
      <c r="E56">
        <v>0.10228420671553751</v>
      </c>
      <c r="F56">
        <f t="shared" si="0"/>
        <v>0.10228420671553748</v>
      </c>
    </row>
    <row r="58" spans="1:16" x14ac:dyDescent="0.3">
      <c r="A58" t="s">
        <v>48</v>
      </c>
    </row>
    <row r="59" spans="1:16" x14ac:dyDescent="0.3">
      <c r="A59" s="3" t="s">
        <v>41</v>
      </c>
      <c r="B59" s="3" t="s">
        <v>42</v>
      </c>
      <c r="C59" s="3" t="s">
        <v>43</v>
      </c>
      <c r="D59" s="3" t="s">
        <v>44</v>
      </c>
      <c r="E59" s="3" t="s">
        <v>4</v>
      </c>
      <c r="F59" s="3" t="s">
        <v>5</v>
      </c>
      <c r="G59" s="3" t="s">
        <v>6</v>
      </c>
      <c r="H59" s="3" t="s">
        <v>7</v>
      </c>
      <c r="I59" s="3" t="s">
        <v>8</v>
      </c>
      <c r="J59" s="3" t="s">
        <v>9</v>
      </c>
      <c r="K59" s="3" t="s">
        <v>10</v>
      </c>
      <c r="L59" s="3" t="s">
        <v>11</v>
      </c>
      <c r="M59" s="3" t="s">
        <v>12</v>
      </c>
      <c r="N59" s="3" t="s">
        <v>13</v>
      </c>
      <c r="O59" s="3" t="s">
        <v>14</v>
      </c>
      <c r="P59" s="7" t="s">
        <v>45</v>
      </c>
    </row>
    <row r="60" spans="1:16" x14ac:dyDescent="0.3">
      <c r="A60">
        <v>60930000</v>
      </c>
      <c r="B60">
        <v>61070000</v>
      </c>
      <c r="C60">
        <v>17</v>
      </c>
      <c r="D60">
        <v>23</v>
      </c>
      <c r="E60">
        <v>65</v>
      </c>
      <c r="F60">
        <v>4.0625</v>
      </c>
      <c r="G60">
        <v>1.015625</v>
      </c>
      <c r="H60">
        <v>0</v>
      </c>
      <c r="I60">
        <v>6.09375</v>
      </c>
      <c r="J60">
        <v>3.046875</v>
      </c>
      <c r="K60">
        <v>9.140625</v>
      </c>
      <c r="L60">
        <v>20.3125</v>
      </c>
      <c r="M60">
        <v>7.109375</v>
      </c>
      <c r="N60">
        <v>14.21875</v>
      </c>
      <c r="O60">
        <v>0</v>
      </c>
      <c r="P60">
        <v>6.3291768359640732E-2</v>
      </c>
    </row>
    <row r="61" spans="1:16" x14ac:dyDescent="0.3">
      <c r="A61">
        <v>60660000</v>
      </c>
      <c r="B61">
        <v>61070000</v>
      </c>
      <c r="C61">
        <v>22</v>
      </c>
      <c r="D61">
        <v>27</v>
      </c>
      <c r="E61">
        <v>65</v>
      </c>
      <c r="F61">
        <v>4.0625</v>
      </c>
      <c r="G61">
        <v>1.015625</v>
      </c>
      <c r="H61">
        <v>0</v>
      </c>
      <c r="I61">
        <v>6.09375</v>
      </c>
      <c r="J61">
        <v>3.046875</v>
      </c>
      <c r="K61">
        <v>9.140625</v>
      </c>
      <c r="L61">
        <v>20.3125</v>
      </c>
      <c r="M61">
        <v>7.109375</v>
      </c>
      <c r="N61">
        <v>14.21875</v>
      </c>
      <c r="O61">
        <v>0</v>
      </c>
      <c r="P61">
        <v>3.916389509898708E-2</v>
      </c>
    </row>
    <row r="62" spans="1:16" x14ac:dyDescent="0.3">
      <c r="A62">
        <v>60610000</v>
      </c>
      <c r="B62">
        <v>61070000</v>
      </c>
      <c r="C62">
        <v>14</v>
      </c>
      <c r="D62">
        <v>26</v>
      </c>
      <c r="E62">
        <v>65</v>
      </c>
      <c r="F62">
        <v>4.0625</v>
      </c>
      <c r="G62">
        <v>1.015625</v>
      </c>
      <c r="H62">
        <v>0</v>
      </c>
      <c r="I62">
        <v>6.09375</v>
      </c>
      <c r="J62">
        <v>3.046875</v>
      </c>
      <c r="K62">
        <v>9.140625</v>
      </c>
      <c r="L62">
        <v>20.3125</v>
      </c>
      <c r="M62">
        <v>7.109375</v>
      </c>
      <c r="N62">
        <v>14.21875</v>
      </c>
      <c r="O62">
        <v>0</v>
      </c>
      <c r="P62">
        <v>4.415716841969286E-2</v>
      </c>
    </row>
    <row r="63" spans="1:16" x14ac:dyDescent="0.3">
      <c r="A63">
        <v>61310000</v>
      </c>
      <c r="B63">
        <v>61070000</v>
      </c>
      <c r="C63">
        <v>16</v>
      </c>
      <c r="D63">
        <v>22</v>
      </c>
      <c r="E63">
        <v>65</v>
      </c>
      <c r="F63">
        <v>4.0625</v>
      </c>
      <c r="G63">
        <v>1.015625</v>
      </c>
      <c r="H63">
        <v>0</v>
      </c>
      <c r="I63">
        <v>6.09375</v>
      </c>
      <c r="J63">
        <v>3.046875</v>
      </c>
      <c r="K63">
        <v>9.140625</v>
      </c>
      <c r="L63">
        <v>20.3125</v>
      </c>
      <c r="M63">
        <v>7.109375</v>
      </c>
      <c r="N63">
        <v>14.21875</v>
      </c>
      <c r="O63">
        <v>0</v>
      </c>
      <c r="P63">
        <v>7.1361269556386081E-2</v>
      </c>
    </row>
    <row r="64" spans="1:16" x14ac:dyDescent="0.3">
      <c r="A64">
        <v>60520000</v>
      </c>
      <c r="B64">
        <v>61070000</v>
      </c>
      <c r="C64">
        <v>4</v>
      </c>
      <c r="D64">
        <v>6</v>
      </c>
      <c r="E64">
        <v>65</v>
      </c>
      <c r="F64">
        <v>4.0625</v>
      </c>
      <c r="G64">
        <v>1.015625</v>
      </c>
      <c r="H64">
        <v>0</v>
      </c>
      <c r="I64">
        <v>6.09375</v>
      </c>
      <c r="J64">
        <v>3.046875</v>
      </c>
      <c r="K64">
        <v>9.140625</v>
      </c>
      <c r="L64">
        <v>20.3125</v>
      </c>
      <c r="M64">
        <v>7.109375</v>
      </c>
      <c r="N64">
        <v>14.21875</v>
      </c>
      <c r="O64">
        <v>0</v>
      </c>
      <c r="P64">
        <v>0.48675225595997168</v>
      </c>
    </row>
    <row r="65" spans="1:16" s="4" customFormat="1" x14ac:dyDescent="0.3">
      <c r="A65" s="4">
        <v>61060000</v>
      </c>
      <c r="B65" s="4">
        <v>61070000</v>
      </c>
      <c r="C65" s="4">
        <v>1</v>
      </c>
      <c r="D65" s="4">
        <v>2</v>
      </c>
      <c r="E65" s="4">
        <v>65</v>
      </c>
      <c r="F65" s="4">
        <v>4.0625</v>
      </c>
      <c r="G65" s="4">
        <v>1.015625</v>
      </c>
      <c r="H65" s="4">
        <v>0</v>
      </c>
      <c r="I65" s="4">
        <v>6.09375</v>
      </c>
      <c r="J65" s="4">
        <v>3.046875</v>
      </c>
      <c r="K65" s="4">
        <v>9.140625</v>
      </c>
      <c r="L65" s="4">
        <v>20.3125</v>
      </c>
      <c r="M65" s="4">
        <v>7.109375</v>
      </c>
      <c r="N65" s="4">
        <v>14.21875</v>
      </c>
      <c r="O65" s="4">
        <v>0</v>
      </c>
      <c r="P65" s="4">
        <v>0.78662786106655347</v>
      </c>
    </row>
    <row r="66" spans="1:16" x14ac:dyDescent="0.3">
      <c r="A66">
        <v>60450000</v>
      </c>
      <c r="B66">
        <v>61070000</v>
      </c>
      <c r="C66">
        <v>19</v>
      </c>
      <c r="D66">
        <v>26</v>
      </c>
      <c r="E66">
        <v>65</v>
      </c>
      <c r="F66">
        <v>4.0625</v>
      </c>
      <c r="G66">
        <v>1.015625</v>
      </c>
      <c r="H66">
        <v>0</v>
      </c>
      <c r="I66">
        <v>6.09375</v>
      </c>
      <c r="J66">
        <v>3.046875</v>
      </c>
      <c r="K66">
        <v>9.140625</v>
      </c>
      <c r="L66">
        <v>20.3125</v>
      </c>
      <c r="M66">
        <v>7.109375</v>
      </c>
      <c r="N66">
        <v>14.21875</v>
      </c>
      <c r="O66">
        <v>0</v>
      </c>
      <c r="P66">
        <v>4.415716841969286E-2</v>
      </c>
    </row>
    <row r="67" spans="1:16" x14ac:dyDescent="0.3">
      <c r="A67">
        <v>60470000</v>
      </c>
      <c r="B67">
        <v>61070000</v>
      </c>
      <c r="C67">
        <v>9</v>
      </c>
      <c r="D67">
        <v>20</v>
      </c>
      <c r="E67">
        <v>65</v>
      </c>
      <c r="F67">
        <v>4.0625</v>
      </c>
      <c r="G67">
        <v>1.015625</v>
      </c>
      <c r="H67">
        <v>0</v>
      </c>
      <c r="I67">
        <v>6.09375</v>
      </c>
      <c r="J67">
        <v>3.046875</v>
      </c>
      <c r="K67">
        <v>9.140625</v>
      </c>
      <c r="L67">
        <v>20.3125</v>
      </c>
      <c r="M67">
        <v>7.109375</v>
      </c>
      <c r="N67">
        <v>14.21875</v>
      </c>
      <c r="O67">
        <v>0</v>
      </c>
      <c r="P67">
        <v>9.0717953289412512E-2</v>
      </c>
    </row>
    <row r="68" spans="1:16" x14ac:dyDescent="0.3">
      <c r="A68">
        <v>60870000</v>
      </c>
      <c r="B68">
        <v>61070000</v>
      </c>
      <c r="C68">
        <v>21</v>
      </c>
      <c r="D68">
        <v>28</v>
      </c>
      <c r="E68">
        <v>65</v>
      </c>
      <c r="F68">
        <v>4.0625</v>
      </c>
      <c r="G68">
        <v>1.015625</v>
      </c>
      <c r="H68">
        <v>0</v>
      </c>
      <c r="I68">
        <v>6.09375</v>
      </c>
      <c r="J68">
        <v>3.046875</v>
      </c>
      <c r="K68">
        <v>9.140625</v>
      </c>
      <c r="L68">
        <v>20.3125</v>
      </c>
      <c r="M68">
        <v>7.109375</v>
      </c>
      <c r="N68">
        <v>14.21875</v>
      </c>
      <c r="O68">
        <v>0</v>
      </c>
      <c r="P68">
        <v>3.4735258944738563E-2</v>
      </c>
    </row>
    <row r="69" spans="1:16" x14ac:dyDescent="0.3">
      <c r="A69">
        <v>41700000</v>
      </c>
      <c r="B69">
        <v>61070000</v>
      </c>
      <c r="C69">
        <v>19</v>
      </c>
      <c r="D69">
        <v>26</v>
      </c>
      <c r="E69">
        <v>65</v>
      </c>
      <c r="F69">
        <v>4.0625</v>
      </c>
      <c r="G69">
        <v>1.015625</v>
      </c>
      <c r="H69">
        <v>0</v>
      </c>
      <c r="I69">
        <v>6.09375</v>
      </c>
      <c r="J69">
        <v>3.046875</v>
      </c>
      <c r="K69">
        <v>9.140625</v>
      </c>
      <c r="L69">
        <v>20.3125</v>
      </c>
      <c r="M69">
        <v>7.109375</v>
      </c>
      <c r="N69">
        <v>14.21875</v>
      </c>
      <c r="O69">
        <v>0</v>
      </c>
      <c r="P69">
        <v>4.415716841969286E-2</v>
      </c>
    </row>
    <row r="70" spans="1:16" x14ac:dyDescent="0.3">
      <c r="A70">
        <v>60010000</v>
      </c>
      <c r="B70">
        <v>61070000</v>
      </c>
      <c r="C70">
        <v>12</v>
      </c>
      <c r="D70">
        <v>16</v>
      </c>
      <c r="E70">
        <v>65</v>
      </c>
      <c r="F70">
        <v>4.0625</v>
      </c>
      <c r="G70">
        <v>1.015625</v>
      </c>
      <c r="H70">
        <v>0</v>
      </c>
      <c r="I70">
        <v>6.09375</v>
      </c>
      <c r="J70">
        <v>3.046875</v>
      </c>
      <c r="K70">
        <v>9.140625</v>
      </c>
      <c r="L70">
        <v>20.3125</v>
      </c>
      <c r="M70">
        <v>7.109375</v>
      </c>
      <c r="N70">
        <v>14.21875</v>
      </c>
      <c r="O70">
        <v>0</v>
      </c>
      <c r="P70">
        <v>0.14660696213035021</v>
      </c>
    </row>
    <row r="71" spans="1:16" x14ac:dyDescent="0.3">
      <c r="A71">
        <v>61350000</v>
      </c>
      <c r="B71">
        <v>61070000</v>
      </c>
      <c r="C71">
        <v>6</v>
      </c>
      <c r="D71">
        <v>9</v>
      </c>
      <c r="E71">
        <v>65</v>
      </c>
      <c r="F71">
        <v>4.0625</v>
      </c>
      <c r="G71">
        <v>1.015625</v>
      </c>
      <c r="H71">
        <v>0</v>
      </c>
      <c r="I71">
        <v>6.09375</v>
      </c>
      <c r="J71">
        <v>3.046875</v>
      </c>
      <c r="K71">
        <v>9.140625</v>
      </c>
      <c r="L71">
        <v>20.3125</v>
      </c>
      <c r="M71">
        <v>7.109375</v>
      </c>
      <c r="N71">
        <v>14.21875</v>
      </c>
      <c r="O71">
        <v>0</v>
      </c>
      <c r="P71">
        <v>0.33959552564493911</v>
      </c>
    </row>
    <row r="72" spans="1:16" s="4" customFormat="1" x14ac:dyDescent="0.3">
      <c r="A72" s="4">
        <v>61070000</v>
      </c>
      <c r="B72" s="4">
        <v>61070000</v>
      </c>
      <c r="C72" s="4">
        <v>0</v>
      </c>
      <c r="D72" s="4">
        <v>0</v>
      </c>
      <c r="E72" s="4">
        <v>65</v>
      </c>
      <c r="F72" s="4">
        <v>4.0625</v>
      </c>
      <c r="G72" s="4">
        <v>1.015625</v>
      </c>
      <c r="H72" s="4">
        <v>0</v>
      </c>
      <c r="I72" s="4">
        <v>6.09375</v>
      </c>
      <c r="J72" s="4">
        <v>3.046875</v>
      </c>
      <c r="K72" s="4">
        <v>9.140625</v>
      </c>
      <c r="L72" s="4">
        <v>20.3125</v>
      </c>
      <c r="M72" s="4">
        <v>7.109375</v>
      </c>
      <c r="N72" s="4">
        <v>14.21875</v>
      </c>
      <c r="O72" s="4">
        <v>0</v>
      </c>
      <c r="P72" s="4">
        <v>1</v>
      </c>
    </row>
    <row r="73" spans="1:16" x14ac:dyDescent="0.3">
      <c r="A73">
        <v>61150000</v>
      </c>
      <c r="B73">
        <v>61070000</v>
      </c>
      <c r="C73">
        <v>17</v>
      </c>
      <c r="D73">
        <v>26</v>
      </c>
      <c r="E73">
        <v>65</v>
      </c>
      <c r="F73">
        <v>4.0625</v>
      </c>
      <c r="G73">
        <v>1.015625</v>
      </c>
      <c r="H73">
        <v>0</v>
      </c>
      <c r="I73">
        <v>6.09375</v>
      </c>
      <c r="J73">
        <v>3.046875</v>
      </c>
      <c r="K73">
        <v>9.140625</v>
      </c>
      <c r="L73">
        <v>20.3125</v>
      </c>
      <c r="M73">
        <v>7.109375</v>
      </c>
      <c r="N73">
        <v>14.21875</v>
      </c>
      <c r="O73">
        <v>0</v>
      </c>
      <c r="P73">
        <v>4.415716841969286E-2</v>
      </c>
    </row>
    <row r="74" spans="1:16" x14ac:dyDescent="0.3">
      <c r="A74">
        <v>60970000</v>
      </c>
      <c r="B74">
        <v>61070000</v>
      </c>
      <c r="C74">
        <v>14</v>
      </c>
      <c r="D74">
        <v>18</v>
      </c>
      <c r="E74">
        <v>65</v>
      </c>
      <c r="F74">
        <v>4.0625</v>
      </c>
      <c r="G74">
        <v>1.015625</v>
      </c>
      <c r="H74">
        <v>0</v>
      </c>
      <c r="I74">
        <v>6.09375</v>
      </c>
      <c r="J74">
        <v>3.046875</v>
      </c>
      <c r="K74">
        <v>9.140625</v>
      </c>
      <c r="L74">
        <v>20.3125</v>
      </c>
      <c r="M74">
        <v>7.109375</v>
      </c>
      <c r="N74">
        <v>14.21875</v>
      </c>
      <c r="O74">
        <v>0</v>
      </c>
      <c r="P74">
        <v>0.1153251210380625</v>
      </c>
    </row>
    <row r="75" spans="1:16" x14ac:dyDescent="0.3">
      <c r="A75">
        <v>41940000</v>
      </c>
      <c r="B75">
        <v>61070000</v>
      </c>
      <c r="C75">
        <v>15</v>
      </c>
      <c r="D75">
        <v>19</v>
      </c>
      <c r="E75">
        <v>65</v>
      </c>
      <c r="F75">
        <v>4.0625</v>
      </c>
      <c r="G75">
        <v>1.015625</v>
      </c>
      <c r="H75">
        <v>0</v>
      </c>
      <c r="I75">
        <v>6.09375</v>
      </c>
      <c r="J75">
        <v>3.046875</v>
      </c>
      <c r="K75">
        <v>9.140625</v>
      </c>
      <c r="L75">
        <v>20.3125</v>
      </c>
      <c r="M75">
        <v>7.109375</v>
      </c>
      <c r="N75">
        <v>14.21875</v>
      </c>
      <c r="O75">
        <v>0</v>
      </c>
      <c r="P75">
        <v>0.10228420671553751</v>
      </c>
    </row>
    <row r="77" spans="1:16" x14ac:dyDescent="0.3">
      <c r="A77" t="s">
        <v>49</v>
      </c>
    </row>
    <row r="78" spans="1:16" x14ac:dyDescent="0.3">
      <c r="A78" s="3" t="s">
        <v>50</v>
      </c>
      <c r="B78" s="3" t="s">
        <v>51</v>
      </c>
      <c r="C78" s="3" t="s">
        <v>52</v>
      </c>
      <c r="D78" s="3" t="s">
        <v>53</v>
      </c>
      <c r="E78" s="3" t="s">
        <v>54</v>
      </c>
      <c r="F78" s="3" t="s">
        <v>55</v>
      </c>
      <c r="G78" s="3" t="s">
        <v>56</v>
      </c>
      <c r="H78" s="3" t="s">
        <v>57</v>
      </c>
      <c r="I78" s="3" t="s">
        <v>58</v>
      </c>
      <c r="J78" s="3" t="s">
        <v>59</v>
      </c>
      <c r="K78" s="3" t="s">
        <v>60</v>
      </c>
      <c r="L78" s="3" t="s">
        <v>61</v>
      </c>
    </row>
    <row r="79" spans="1:16" x14ac:dyDescent="0.3">
      <c r="A79">
        <v>23</v>
      </c>
      <c r="B79">
        <v>1</v>
      </c>
      <c r="C79">
        <v>0.9765818960831949</v>
      </c>
      <c r="D79">
        <v>0.45164327844257413</v>
      </c>
      <c r="E79">
        <v>0.33676790795566319</v>
      </c>
      <c r="F79">
        <v>0.35202287939459981</v>
      </c>
      <c r="G79">
        <v>0.64044287110831322</v>
      </c>
      <c r="H79">
        <v>0.81153414502304944</v>
      </c>
      <c r="I79">
        <v>0.87409872537193889</v>
      </c>
      <c r="J79">
        <v>1.1083846046162431</v>
      </c>
      <c r="K79">
        <v>1.624337197417475</v>
      </c>
      <c r="L79">
        <v>2.6395895513387728</v>
      </c>
    </row>
    <row r="80" spans="1:16" x14ac:dyDescent="0.3">
      <c r="A80" t="s">
        <v>62</v>
      </c>
      <c r="B80">
        <v>1.0192276175210799</v>
      </c>
    </row>
    <row r="81" spans="1:13" x14ac:dyDescent="0.3">
      <c r="C81">
        <f>C79/$B80</f>
        <v>0.95815878543243749</v>
      </c>
      <c r="D81">
        <f t="shared" ref="D81:L81" si="1">D79/$B80</f>
        <v>0.44312307739564671</v>
      </c>
      <c r="E81">
        <f t="shared" si="1"/>
        <v>0.33041481820786522</v>
      </c>
      <c r="F81">
        <f t="shared" si="1"/>
        <v>0.34538200627920013</v>
      </c>
      <c r="G81">
        <f t="shared" si="1"/>
        <v>0.62836098639670879</v>
      </c>
      <c r="H81">
        <f t="shared" si="1"/>
        <v>0.79622464214306388</v>
      </c>
      <c r="I81">
        <f t="shared" si="1"/>
        <v>0.85760894852700609</v>
      </c>
      <c r="J81">
        <f t="shared" si="1"/>
        <v>1.0874750502856338</v>
      </c>
      <c r="K81">
        <f t="shared" si="1"/>
        <v>1.5936942538587362</v>
      </c>
      <c r="L81">
        <f t="shared" si="1"/>
        <v>2.5897939831719485</v>
      </c>
      <c r="M81" t="s">
        <v>86</v>
      </c>
    </row>
    <row r="83" spans="1:13" x14ac:dyDescent="0.3">
      <c r="A83" t="s">
        <v>63</v>
      </c>
    </row>
    <row r="84" spans="1:13" x14ac:dyDescent="0.3">
      <c r="A84" s="3" t="s">
        <v>41</v>
      </c>
      <c r="B84" s="3" t="s">
        <v>42</v>
      </c>
      <c r="C84" s="3" t="s">
        <v>43</v>
      </c>
      <c r="D84" s="3" t="s">
        <v>44</v>
      </c>
      <c r="E84" s="3" t="s">
        <v>4</v>
      </c>
      <c r="F84" s="3" t="s">
        <v>45</v>
      </c>
      <c r="G84" s="3" t="s">
        <v>46</v>
      </c>
      <c r="H84" s="6" t="s">
        <v>79</v>
      </c>
    </row>
    <row r="85" spans="1:13" x14ac:dyDescent="0.3">
      <c r="A85">
        <v>60930000</v>
      </c>
      <c r="B85">
        <v>61070000</v>
      </c>
      <c r="C85">
        <v>17</v>
      </c>
      <c r="D85">
        <v>23</v>
      </c>
      <c r="E85">
        <v>65</v>
      </c>
      <c r="F85">
        <v>6.3291768359640732E-2</v>
      </c>
      <c r="G85">
        <v>63.451556666712598</v>
      </c>
      <c r="H85">
        <f>G85-E85</f>
        <v>-1.5484433332874019</v>
      </c>
      <c r="I85" t="s">
        <v>80</v>
      </c>
    </row>
    <row r="86" spans="1:13" x14ac:dyDescent="0.3">
      <c r="A86">
        <v>60660000</v>
      </c>
      <c r="B86">
        <v>61070000</v>
      </c>
      <c r="C86">
        <v>22</v>
      </c>
      <c r="D86">
        <v>27</v>
      </c>
      <c r="E86">
        <v>65</v>
      </c>
      <c r="F86">
        <v>3.916389509898708E-2</v>
      </c>
      <c r="G86">
        <v>63.451556666712598</v>
      </c>
    </row>
    <row r="87" spans="1:13" x14ac:dyDescent="0.3">
      <c r="A87">
        <v>60610000</v>
      </c>
      <c r="B87">
        <v>61070000</v>
      </c>
      <c r="C87">
        <v>14</v>
      </c>
      <c r="D87">
        <v>26</v>
      </c>
      <c r="E87">
        <v>65</v>
      </c>
      <c r="F87">
        <v>4.415716841969286E-2</v>
      </c>
      <c r="G87">
        <v>63.451556666712598</v>
      </c>
    </row>
    <row r="88" spans="1:13" x14ac:dyDescent="0.3">
      <c r="A88">
        <v>61310000</v>
      </c>
      <c r="B88">
        <v>61070000</v>
      </c>
      <c r="C88">
        <v>16</v>
      </c>
      <c r="D88">
        <v>22</v>
      </c>
      <c r="E88">
        <v>65</v>
      </c>
      <c r="F88">
        <v>7.1361269556386081E-2</v>
      </c>
      <c r="G88">
        <v>63.451556666712598</v>
      </c>
    </row>
    <row r="89" spans="1:13" x14ac:dyDescent="0.3">
      <c r="A89">
        <v>60520000</v>
      </c>
      <c r="B89">
        <v>61070000</v>
      </c>
      <c r="C89">
        <v>4</v>
      </c>
      <c r="D89">
        <v>6</v>
      </c>
      <c r="E89">
        <v>65</v>
      </c>
      <c r="F89">
        <v>0.48675225595997168</v>
      </c>
      <c r="G89">
        <v>63.451556666712598</v>
      </c>
    </row>
    <row r="90" spans="1:13" s="4" customFormat="1" x14ac:dyDescent="0.3">
      <c r="A90" s="4">
        <v>61060000</v>
      </c>
      <c r="B90" s="4">
        <v>61070000</v>
      </c>
      <c r="C90" s="4">
        <v>1</v>
      </c>
      <c r="D90" s="4">
        <v>2</v>
      </c>
      <c r="E90" s="4">
        <v>65</v>
      </c>
      <c r="F90" s="4">
        <v>0.78662786106655347</v>
      </c>
      <c r="G90" s="4">
        <v>63.451556666712598</v>
      </c>
    </row>
    <row r="91" spans="1:13" x14ac:dyDescent="0.3">
      <c r="A91">
        <v>60450000</v>
      </c>
      <c r="B91">
        <v>61070000</v>
      </c>
      <c r="C91">
        <v>19</v>
      </c>
      <c r="D91">
        <v>26</v>
      </c>
      <c r="E91">
        <v>65</v>
      </c>
      <c r="F91">
        <v>4.415716841969286E-2</v>
      </c>
      <c r="G91">
        <v>63.451556666712598</v>
      </c>
    </row>
    <row r="92" spans="1:13" x14ac:dyDescent="0.3">
      <c r="A92">
        <v>60470000</v>
      </c>
      <c r="B92">
        <v>61070000</v>
      </c>
      <c r="C92">
        <v>9</v>
      </c>
      <c r="D92">
        <v>20</v>
      </c>
      <c r="E92">
        <v>65</v>
      </c>
      <c r="F92">
        <v>9.0717953289412512E-2</v>
      </c>
      <c r="G92">
        <v>63.451556666712598</v>
      </c>
    </row>
    <row r="93" spans="1:13" x14ac:dyDescent="0.3">
      <c r="A93">
        <v>60870000</v>
      </c>
      <c r="B93">
        <v>61070000</v>
      </c>
      <c r="C93">
        <v>21</v>
      </c>
      <c r="D93">
        <v>28</v>
      </c>
      <c r="E93">
        <v>65</v>
      </c>
      <c r="F93">
        <v>3.4735258944738563E-2</v>
      </c>
      <c r="G93">
        <v>63.451556666712598</v>
      </c>
    </row>
    <row r="94" spans="1:13" x14ac:dyDescent="0.3">
      <c r="A94">
        <v>41700000</v>
      </c>
      <c r="B94">
        <v>61070000</v>
      </c>
      <c r="C94">
        <v>19</v>
      </c>
      <c r="D94">
        <v>26</v>
      </c>
      <c r="E94">
        <v>65</v>
      </c>
      <c r="F94">
        <v>4.415716841969286E-2</v>
      </c>
      <c r="G94">
        <v>63.451556666712598</v>
      </c>
    </row>
    <row r="95" spans="1:13" x14ac:dyDescent="0.3">
      <c r="A95">
        <v>60010000</v>
      </c>
      <c r="B95">
        <v>61070000</v>
      </c>
      <c r="C95">
        <v>12</v>
      </c>
      <c r="D95">
        <v>16</v>
      </c>
      <c r="E95">
        <v>65</v>
      </c>
      <c r="F95">
        <v>0.14660696213035021</v>
      </c>
      <c r="G95">
        <v>63.451556666712598</v>
      </c>
    </row>
    <row r="96" spans="1:13" x14ac:dyDescent="0.3">
      <c r="A96">
        <v>61350000</v>
      </c>
      <c r="B96">
        <v>61070000</v>
      </c>
      <c r="C96">
        <v>6</v>
      </c>
      <c r="D96">
        <v>9</v>
      </c>
      <c r="E96">
        <v>65</v>
      </c>
      <c r="F96">
        <v>0.33959552564493911</v>
      </c>
      <c r="G96">
        <v>63.451556666712598</v>
      </c>
    </row>
    <row r="97" spans="1:8" s="4" customFormat="1" x14ac:dyDescent="0.3">
      <c r="A97" s="4">
        <v>61070000</v>
      </c>
      <c r="B97" s="4">
        <v>61070000</v>
      </c>
      <c r="C97" s="4">
        <v>0</v>
      </c>
      <c r="D97" s="4">
        <v>0</v>
      </c>
      <c r="E97" s="4">
        <v>65</v>
      </c>
      <c r="F97" s="4">
        <v>1</v>
      </c>
      <c r="G97" s="4">
        <v>63.451556666712598</v>
      </c>
    </row>
    <row r="98" spans="1:8" x14ac:dyDescent="0.3">
      <c r="A98">
        <v>61150000</v>
      </c>
      <c r="B98">
        <v>61070000</v>
      </c>
      <c r="C98">
        <v>17</v>
      </c>
      <c r="D98">
        <v>26</v>
      </c>
      <c r="E98">
        <v>65</v>
      </c>
      <c r="F98">
        <v>4.415716841969286E-2</v>
      </c>
      <c r="G98">
        <v>63.451556666712598</v>
      </c>
    </row>
    <row r="99" spans="1:8" x14ac:dyDescent="0.3">
      <c r="A99">
        <v>60970000</v>
      </c>
      <c r="B99">
        <v>61070000</v>
      </c>
      <c r="C99">
        <v>14</v>
      </c>
      <c r="D99">
        <v>18</v>
      </c>
      <c r="E99">
        <v>65</v>
      </c>
      <c r="F99">
        <v>0.1153251210380625</v>
      </c>
      <c r="G99">
        <v>63.451556666712598</v>
      </c>
    </row>
    <row r="100" spans="1:8" x14ac:dyDescent="0.3">
      <c r="A100">
        <v>41940000</v>
      </c>
      <c r="B100">
        <v>61070000</v>
      </c>
      <c r="C100">
        <v>15</v>
      </c>
      <c r="D100">
        <v>19</v>
      </c>
      <c r="E100">
        <v>65</v>
      </c>
      <c r="F100">
        <v>0.10228420671553751</v>
      </c>
      <c r="G100">
        <v>63.451556666712598</v>
      </c>
    </row>
    <row r="102" spans="1:8" x14ac:dyDescent="0.3">
      <c r="A102" t="s">
        <v>87</v>
      </c>
    </row>
    <row r="103" spans="1:8" x14ac:dyDescent="0.3">
      <c r="A103" s="3" t="s">
        <v>41</v>
      </c>
      <c r="B103" s="3" t="s">
        <v>42</v>
      </c>
      <c r="C103" s="3" t="s">
        <v>43</v>
      </c>
      <c r="D103" s="3" t="s">
        <v>44</v>
      </c>
      <c r="E103" s="3" t="s">
        <v>4</v>
      </c>
      <c r="F103" s="3" t="s">
        <v>45</v>
      </c>
      <c r="G103" s="3" t="s">
        <v>46</v>
      </c>
      <c r="H103" s="5" t="s">
        <v>81</v>
      </c>
    </row>
    <row r="104" spans="1:8" x14ac:dyDescent="0.3">
      <c r="A104">
        <v>61060000</v>
      </c>
      <c r="B104">
        <v>41700000</v>
      </c>
      <c r="C104">
        <v>18</v>
      </c>
      <c r="D104">
        <v>24</v>
      </c>
      <c r="E104">
        <v>72</v>
      </c>
      <c r="F104">
        <v>5.6134762834133732E-2</v>
      </c>
      <c r="G104">
        <v>83.104114008435047</v>
      </c>
    </row>
    <row r="105" spans="1:8" x14ac:dyDescent="0.3">
      <c r="A105">
        <v>61060000</v>
      </c>
      <c r="B105">
        <v>41940000</v>
      </c>
      <c r="C105">
        <v>14</v>
      </c>
      <c r="D105">
        <v>18</v>
      </c>
      <c r="E105">
        <v>96</v>
      </c>
      <c r="F105">
        <v>0.1153251210380625</v>
      </c>
      <c r="G105">
        <v>101.5996670754798</v>
      </c>
    </row>
    <row r="106" spans="1:8" x14ac:dyDescent="0.3">
      <c r="A106">
        <v>61060000</v>
      </c>
      <c r="B106">
        <v>60010000</v>
      </c>
      <c r="C106">
        <v>11</v>
      </c>
      <c r="D106">
        <v>15</v>
      </c>
      <c r="E106">
        <v>93</v>
      </c>
      <c r="F106">
        <v>0.16529888822158659</v>
      </c>
      <c r="G106">
        <v>97.746663517949315</v>
      </c>
    </row>
    <row r="107" spans="1:8" x14ac:dyDescent="0.3">
      <c r="A107">
        <v>61060000</v>
      </c>
      <c r="B107">
        <v>60450000</v>
      </c>
      <c r="C107">
        <v>18</v>
      </c>
      <c r="D107">
        <v>24</v>
      </c>
      <c r="E107">
        <v>76</v>
      </c>
      <c r="F107">
        <v>5.6134762834133732E-2</v>
      </c>
      <c r="G107">
        <v>96.575063991931458</v>
      </c>
    </row>
    <row r="108" spans="1:8" x14ac:dyDescent="0.3">
      <c r="A108">
        <v>61060000</v>
      </c>
      <c r="B108">
        <v>60470000</v>
      </c>
      <c r="C108">
        <v>10</v>
      </c>
      <c r="D108">
        <v>22</v>
      </c>
      <c r="E108">
        <v>94</v>
      </c>
      <c r="F108">
        <v>7.1361269556386081E-2</v>
      </c>
      <c r="G108">
        <v>92.476500075507317</v>
      </c>
    </row>
    <row r="109" spans="1:8" x14ac:dyDescent="0.3">
      <c r="A109">
        <v>61060000</v>
      </c>
      <c r="B109">
        <v>60520000</v>
      </c>
      <c r="C109">
        <v>3</v>
      </c>
      <c r="D109">
        <v>5</v>
      </c>
      <c r="E109">
        <v>148</v>
      </c>
      <c r="F109">
        <v>0.5488116360940265</v>
      </c>
      <c r="G109">
        <v>175.20195652529841</v>
      </c>
    </row>
    <row r="110" spans="1:8" x14ac:dyDescent="0.3">
      <c r="A110">
        <v>61060000</v>
      </c>
      <c r="B110">
        <v>60610000</v>
      </c>
      <c r="C110">
        <v>15</v>
      </c>
      <c r="D110">
        <v>28</v>
      </c>
      <c r="E110">
        <v>92</v>
      </c>
      <c r="F110">
        <v>3.4735258944738563E-2</v>
      </c>
      <c r="G110">
        <v>92.71178569701604</v>
      </c>
    </row>
    <row r="111" spans="1:8" x14ac:dyDescent="0.3">
      <c r="A111">
        <v>61060000</v>
      </c>
      <c r="B111">
        <v>60660000</v>
      </c>
      <c r="C111">
        <v>21</v>
      </c>
      <c r="D111">
        <v>27</v>
      </c>
      <c r="E111">
        <v>1608</v>
      </c>
      <c r="F111">
        <v>3.916389509898708E-2</v>
      </c>
      <c r="G111">
        <v>1514.3114236748031</v>
      </c>
    </row>
    <row r="112" spans="1:8" x14ac:dyDescent="0.3">
      <c r="A112">
        <v>61060000</v>
      </c>
      <c r="B112">
        <v>60870000</v>
      </c>
      <c r="C112">
        <v>20</v>
      </c>
      <c r="D112">
        <v>27</v>
      </c>
      <c r="E112">
        <v>40</v>
      </c>
      <c r="F112">
        <v>3.916389509898708E-2</v>
      </c>
      <c r="G112">
        <v>47.489152397488951</v>
      </c>
    </row>
    <row r="113" spans="1:9" x14ac:dyDescent="0.3">
      <c r="A113">
        <v>61060000</v>
      </c>
      <c r="B113">
        <v>60930000</v>
      </c>
      <c r="C113">
        <v>16</v>
      </c>
      <c r="D113">
        <v>22</v>
      </c>
      <c r="E113">
        <v>239</v>
      </c>
      <c r="F113">
        <v>7.1361269556386081E-2</v>
      </c>
      <c r="G113">
        <v>261.45833955600341</v>
      </c>
    </row>
    <row r="114" spans="1:9" x14ac:dyDescent="0.3">
      <c r="A114">
        <v>61060000</v>
      </c>
      <c r="B114">
        <v>60970000</v>
      </c>
      <c r="C114">
        <v>14</v>
      </c>
      <c r="D114">
        <v>18</v>
      </c>
      <c r="E114">
        <v>340</v>
      </c>
      <c r="F114">
        <v>0.1153251210380625</v>
      </c>
      <c r="G114">
        <v>343.99690155676888</v>
      </c>
    </row>
    <row r="115" spans="1:9" s="4" customFormat="1" x14ac:dyDescent="0.3">
      <c r="A115" s="4">
        <v>61060000</v>
      </c>
      <c r="B115" s="4">
        <v>61060000</v>
      </c>
      <c r="C115" s="4">
        <v>0</v>
      </c>
      <c r="D115" s="4">
        <v>0</v>
      </c>
      <c r="E115" s="4">
        <v>561</v>
      </c>
      <c r="F115" s="4">
        <v>1</v>
      </c>
      <c r="G115" s="4">
        <v>601.35666203863968</v>
      </c>
      <c r="H115" s="4">
        <f>G115-E115</f>
        <v>40.356662038639683</v>
      </c>
      <c r="I115" s="4" t="s">
        <v>88</v>
      </c>
    </row>
    <row r="116" spans="1:9" s="4" customFormat="1" x14ac:dyDescent="0.3">
      <c r="A116" s="4">
        <v>61060000</v>
      </c>
      <c r="B116" s="4">
        <v>61070000</v>
      </c>
      <c r="C116" s="4">
        <v>1</v>
      </c>
      <c r="D116" s="4">
        <v>2</v>
      </c>
      <c r="E116" s="4">
        <v>65</v>
      </c>
      <c r="F116" s="4">
        <v>0.78662786106655347</v>
      </c>
      <c r="G116" s="4">
        <v>63.451556666712598</v>
      </c>
      <c r="H116" s="4">
        <f>G116-E116</f>
        <v>-1.5484433332874019</v>
      </c>
    </row>
    <row r="117" spans="1:9" x14ac:dyDescent="0.3">
      <c r="A117">
        <v>61060000</v>
      </c>
      <c r="B117">
        <v>61150000</v>
      </c>
      <c r="C117">
        <v>16</v>
      </c>
      <c r="D117">
        <v>24</v>
      </c>
      <c r="E117">
        <v>85</v>
      </c>
      <c r="F117">
        <v>5.6134762834133732E-2</v>
      </c>
      <c r="G117">
        <v>111.0988685639897</v>
      </c>
    </row>
    <row r="118" spans="1:9" x14ac:dyDescent="0.3">
      <c r="A118">
        <v>61060000</v>
      </c>
      <c r="B118">
        <v>61310000</v>
      </c>
      <c r="C118">
        <v>15</v>
      </c>
      <c r="D118">
        <v>20</v>
      </c>
      <c r="E118">
        <v>47</v>
      </c>
      <c r="F118">
        <v>9.0717953289412512E-2</v>
      </c>
      <c r="G118">
        <v>61.017799754188893</v>
      </c>
    </row>
    <row r="119" spans="1:9" x14ac:dyDescent="0.3">
      <c r="A119">
        <v>61060000</v>
      </c>
      <c r="B119">
        <v>61350000</v>
      </c>
      <c r="C119">
        <v>5</v>
      </c>
      <c r="D119">
        <v>8</v>
      </c>
      <c r="E119">
        <v>199</v>
      </c>
      <c r="F119">
        <v>0.38289288597511212</v>
      </c>
      <c r="G119">
        <v>216.7672406091269</v>
      </c>
    </row>
    <row r="121" spans="1:9" x14ac:dyDescent="0.3">
      <c r="A121" t="s">
        <v>67</v>
      </c>
    </row>
    <row r="122" spans="1:9" x14ac:dyDescent="0.3">
      <c r="A122" s="3" t="s">
        <v>41</v>
      </c>
      <c r="B122" s="3" t="s">
        <v>42</v>
      </c>
      <c r="C122" s="3" t="s">
        <v>43</v>
      </c>
      <c r="D122" s="3" t="s">
        <v>44</v>
      </c>
      <c r="E122" s="3" t="s">
        <v>45</v>
      </c>
      <c r="F122" s="3" t="s">
        <v>46</v>
      </c>
      <c r="G122" s="3" t="s">
        <v>4</v>
      </c>
      <c r="H122" s="3" t="s">
        <v>3</v>
      </c>
      <c r="I122" s="3" t="s">
        <v>36</v>
      </c>
    </row>
    <row r="123" spans="1:9" x14ac:dyDescent="0.3">
      <c r="A123">
        <v>61060000</v>
      </c>
      <c r="B123">
        <v>41700000</v>
      </c>
      <c r="C123">
        <v>18</v>
      </c>
      <c r="D123">
        <v>24</v>
      </c>
      <c r="E123">
        <v>5.6134762834133732E-2</v>
      </c>
      <c r="F123">
        <v>83.104114008435047</v>
      </c>
      <c r="G123">
        <v>72</v>
      </c>
      <c r="H123" t="s">
        <v>17</v>
      </c>
      <c r="I123">
        <v>1.5</v>
      </c>
    </row>
    <row r="124" spans="1:9" x14ac:dyDescent="0.3">
      <c r="A124">
        <v>61060000</v>
      </c>
      <c r="B124">
        <v>41940000</v>
      </c>
      <c r="C124">
        <v>14</v>
      </c>
      <c r="D124">
        <v>18</v>
      </c>
      <c r="E124">
        <v>0.1153251210380625</v>
      </c>
      <c r="F124">
        <v>101.5996670754798</v>
      </c>
      <c r="G124">
        <v>96</v>
      </c>
      <c r="H124" t="s">
        <v>17</v>
      </c>
      <c r="I124">
        <v>1.5</v>
      </c>
    </row>
    <row r="125" spans="1:9" x14ac:dyDescent="0.3">
      <c r="A125">
        <v>61060000</v>
      </c>
      <c r="B125">
        <v>60010000</v>
      </c>
      <c r="C125">
        <v>11</v>
      </c>
      <c r="D125">
        <v>15</v>
      </c>
      <c r="E125">
        <v>0.16529888822158659</v>
      </c>
      <c r="F125">
        <v>97.746663517949315</v>
      </c>
      <c r="G125">
        <v>93</v>
      </c>
      <c r="H125" t="s">
        <v>17</v>
      </c>
      <c r="I125">
        <v>1.5</v>
      </c>
    </row>
    <row r="126" spans="1:9" x14ac:dyDescent="0.3">
      <c r="A126">
        <v>61060000</v>
      </c>
      <c r="B126">
        <v>60450000</v>
      </c>
      <c r="C126">
        <v>18</v>
      </c>
      <c r="D126">
        <v>24</v>
      </c>
      <c r="E126">
        <v>5.6134762834133732E-2</v>
      </c>
      <c r="F126">
        <v>96.575063991931458</v>
      </c>
      <c r="G126">
        <v>76</v>
      </c>
      <c r="H126" t="s">
        <v>17</v>
      </c>
      <c r="I126">
        <v>1.5</v>
      </c>
    </row>
    <row r="127" spans="1:9" x14ac:dyDescent="0.3">
      <c r="A127">
        <v>61060000</v>
      </c>
      <c r="B127">
        <v>60470000</v>
      </c>
      <c r="C127">
        <v>10</v>
      </c>
      <c r="D127">
        <v>22</v>
      </c>
      <c r="E127">
        <v>7.1361269556386081E-2</v>
      </c>
      <c r="F127">
        <v>92.476500075507317</v>
      </c>
      <c r="G127">
        <v>94</v>
      </c>
      <c r="H127" t="s">
        <v>17</v>
      </c>
      <c r="I127">
        <v>1.5</v>
      </c>
    </row>
    <row r="128" spans="1:9" x14ac:dyDescent="0.3">
      <c r="A128">
        <v>61060000</v>
      </c>
      <c r="B128">
        <v>60520000</v>
      </c>
      <c r="C128">
        <v>3</v>
      </c>
      <c r="D128">
        <v>5</v>
      </c>
      <c r="E128">
        <v>0.5488116360940265</v>
      </c>
      <c r="F128">
        <v>175.20195652529841</v>
      </c>
      <c r="G128">
        <v>148</v>
      </c>
      <c r="H128" t="s">
        <v>17</v>
      </c>
      <c r="I128">
        <v>1.5</v>
      </c>
    </row>
    <row r="129" spans="1:11" x14ac:dyDescent="0.3">
      <c r="A129">
        <v>61060000</v>
      </c>
      <c r="B129">
        <v>60610000</v>
      </c>
      <c r="C129">
        <v>15</v>
      </c>
      <c r="D129">
        <v>28</v>
      </c>
      <c r="E129">
        <v>3.4735258944738563E-2</v>
      </c>
      <c r="F129">
        <v>92.71178569701604</v>
      </c>
      <c r="G129">
        <v>92</v>
      </c>
      <c r="H129" t="s">
        <v>17</v>
      </c>
      <c r="I129">
        <v>1.5</v>
      </c>
    </row>
    <row r="130" spans="1:11" x14ac:dyDescent="0.3">
      <c r="A130">
        <v>61060000</v>
      </c>
      <c r="B130">
        <v>60660000</v>
      </c>
      <c r="C130">
        <v>21</v>
      </c>
      <c r="D130">
        <v>27</v>
      </c>
      <c r="E130">
        <v>3.916389509898708E-2</v>
      </c>
      <c r="F130">
        <v>1514.3114236748031</v>
      </c>
      <c r="G130">
        <v>1608</v>
      </c>
      <c r="H130" t="s">
        <v>17</v>
      </c>
      <c r="I130">
        <v>1.5</v>
      </c>
    </row>
    <row r="131" spans="1:11" x14ac:dyDescent="0.3">
      <c r="A131">
        <v>61060000</v>
      </c>
      <c r="B131">
        <v>60870000</v>
      </c>
      <c r="C131">
        <v>20</v>
      </c>
      <c r="D131">
        <v>27</v>
      </c>
      <c r="E131">
        <v>3.916389509898708E-2</v>
      </c>
      <c r="F131">
        <v>47.489152397488951</v>
      </c>
      <c r="G131">
        <v>40</v>
      </c>
      <c r="H131" t="s">
        <v>17</v>
      </c>
      <c r="I131">
        <v>1.5</v>
      </c>
    </row>
    <row r="132" spans="1:11" x14ac:dyDescent="0.3">
      <c r="A132">
        <v>61060000</v>
      </c>
      <c r="B132">
        <v>60930000</v>
      </c>
      <c r="C132">
        <v>16</v>
      </c>
      <c r="D132">
        <v>22</v>
      </c>
      <c r="E132">
        <v>7.1361269556386081E-2</v>
      </c>
      <c r="F132">
        <v>261.45833955600341</v>
      </c>
      <c r="G132">
        <v>239</v>
      </c>
      <c r="H132" t="s">
        <v>17</v>
      </c>
      <c r="I132">
        <v>1.5</v>
      </c>
    </row>
    <row r="133" spans="1:11" x14ac:dyDescent="0.3">
      <c r="A133">
        <v>61060000</v>
      </c>
      <c r="B133">
        <v>60970000</v>
      </c>
      <c r="C133">
        <v>14</v>
      </c>
      <c r="D133">
        <v>18</v>
      </c>
      <c r="E133">
        <v>0.1153251210380625</v>
      </c>
      <c r="F133">
        <v>343.99690155676888</v>
      </c>
      <c r="G133">
        <v>340</v>
      </c>
      <c r="H133" t="s">
        <v>17</v>
      </c>
      <c r="I133">
        <v>1.5</v>
      </c>
    </row>
    <row r="134" spans="1:11" s="4" customFormat="1" x14ac:dyDescent="0.3">
      <c r="A134" s="4">
        <v>61060000</v>
      </c>
      <c r="B134" s="4">
        <v>61060000</v>
      </c>
      <c r="C134" s="4">
        <v>0</v>
      </c>
      <c r="D134" s="4">
        <v>0</v>
      </c>
      <c r="E134" s="4">
        <v>1</v>
      </c>
      <c r="F134" s="4">
        <v>601.35666203863968</v>
      </c>
      <c r="G134" s="4">
        <v>561</v>
      </c>
      <c r="H134" s="4" t="s">
        <v>17</v>
      </c>
      <c r="I134" s="4">
        <v>1.5</v>
      </c>
    </row>
    <row r="135" spans="1:11" s="4" customFormat="1" x14ac:dyDescent="0.3">
      <c r="A135" s="4">
        <v>61060000</v>
      </c>
      <c r="B135" s="4">
        <v>61070000</v>
      </c>
      <c r="C135" s="4">
        <v>1</v>
      </c>
      <c r="D135" s="4">
        <v>2</v>
      </c>
      <c r="E135" s="4">
        <v>0.78662786106655347</v>
      </c>
      <c r="F135" s="4">
        <v>63.451556666712598</v>
      </c>
      <c r="G135" s="4">
        <v>65</v>
      </c>
      <c r="H135" s="4" t="s">
        <v>17</v>
      </c>
      <c r="I135" s="4">
        <v>1.5</v>
      </c>
    </row>
    <row r="136" spans="1:11" x14ac:dyDescent="0.3">
      <c r="A136">
        <v>61060000</v>
      </c>
      <c r="B136">
        <v>61150000</v>
      </c>
      <c r="C136">
        <v>16</v>
      </c>
      <c r="D136">
        <v>24</v>
      </c>
      <c r="E136">
        <v>5.6134762834133732E-2</v>
      </c>
      <c r="F136">
        <v>111.0988685639897</v>
      </c>
      <c r="G136">
        <v>85</v>
      </c>
      <c r="H136" t="s">
        <v>17</v>
      </c>
      <c r="I136">
        <v>1.5</v>
      </c>
    </row>
    <row r="137" spans="1:11" x14ac:dyDescent="0.3">
      <c r="A137">
        <v>61060000</v>
      </c>
      <c r="B137">
        <v>61310000</v>
      </c>
      <c r="C137">
        <v>15</v>
      </c>
      <c r="D137">
        <v>20</v>
      </c>
      <c r="E137">
        <v>9.0717953289412512E-2</v>
      </c>
      <c r="F137">
        <v>61.017799754188893</v>
      </c>
      <c r="G137">
        <v>47</v>
      </c>
      <c r="H137" t="s">
        <v>17</v>
      </c>
      <c r="I137">
        <v>1.5</v>
      </c>
    </row>
    <row r="138" spans="1:11" x14ac:dyDescent="0.3">
      <c r="A138">
        <v>61060000</v>
      </c>
      <c r="B138">
        <v>61350000</v>
      </c>
      <c r="C138">
        <v>5</v>
      </c>
      <c r="D138">
        <v>8</v>
      </c>
      <c r="E138">
        <v>0.38289288597511212</v>
      </c>
      <c r="F138">
        <v>216.7672406091269</v>
      </c>
      <c r="G138">
        <v>199</v>
      </c>
      <c r="H138" t="s">
        <v>17</v>
      </c>
      <c r="I138">
        <v>1.5</v>
      </c>
    </row>
    <row r="140" spans="1:11" x14ac:dyDescent="0.3">
      <c r="A140" t="s">
        <v>68</v>
      </c>
    </row>
    <row r="141" spans="1:11" x14ac:dyDescent="0.3">
      <c r="A141" s="3" t="s">
        <v>41</v>
      </c>
      <c r="B141" s="3" t="s">
        <v>42</v>
      </c>
      <c r="C141" s="3" t="s">
        <v>43</v>
      </c>
      <c r="D141" s="3" t="s">
        <v>44</v>
      </c>
      <c r="E141" s="3" t="s">
        <v>45</v>
      </c>
      <c r="F141" s="3" t="s">
        <v>46</v>
      </c>
      <c r="G141" s="3" t="s">
        <v>4</v>
      </c>
      <c r="H141" s="3" t="s">
        <v>36</v>
      </c>
      <c r="I141" s="3" t="s">
        <v>64</v>
      </c>
      <c r="J141" s="5" t="s">
        <v>47</v>
      </c>
    </row>
    <row r="142" spans="1:11" x14ac:dyDescent="0.3">
      <c r="A142">
        <v>61060000</v>
      </c>
      <c r="B142">
        <v>41700000</v>
      </c>
      <c r="C142">
        <v>18</v>
      </c>
      <c r="D142">
        <v>24</v>
      </c>
      <c r="E142">
        <v>5.6134762834133732E-2</v>
      </c>
      <c r="F142">
        <v>83.104114008435047</v>
      </c>
      <c r="G142">
        <v>72</v>
      </c>
      <c r="H142">
        <v>1.5</v>
      </c>
      <c r="I142">
        <v>4.6650297304043118</v>
      </c>
      <c r="J142">
        <f>F142*E142</f>
        <v>4.6650297304043118</v>
      </c>
      <c r="K142" t="s">
        <v>80</v>
      </c>
    </row>
    <row r="143" spans="1:11" x14ac:dyDescent="0.3">
      <c r="A143">
        <v>61060000</v>
      </c>
      <c r="B143">
        <v>41940000</v>
      </c>
      <c r="C143">
        <v>14</v>
      </c>
      <c r="D143">
        <v>18</v>
      </c>
      <c r="E143">
        <v>0.1153251210380625</v>
      </c>
      <c r="F143">
        <v>101.5996670754798</v>
      </c>
      <c r="G143">
        <v>96</v>
      </c>
      <c r="H143">
        <v>1.5</v>
      </c>
      <c r="I143">
        <v>11.716993902906561</v>
      </c>
      <c r="J143">
        <f t="shared" ref="J143:J173" si="2">F143*E143</f>
        <v>11.716993902906561</v>
      </c>
    </row>
    <row r="144" spans="1:11" x14ac:dyDescent="0.3">
      <c r="A144">
        <v>61060000</v>
      </c>
      <c r="B144">
        <v>60010000</v>
      </c>
      <c r="C144">
        <v>11</v>
      </c>
      <c r="D144">
        <v>15</v>
      </c>
      <c r="E144">
        <v>0.16529888822158659</v>
      </c>
      <c r="F144">
        <v>97.746663517949315</v>
      </c>
      <c r="G144">
        <v>93</v>
      </c>
      <c r="H144">
        <v>1.5</v>
      </c>
      <c r="I144">
        <v>16.157414806886539</v>
      </c>
      <c r="J144">
        <f t="shared" si="2"/>
        <v>16.157414806886539</v>
      </c>
    </row>
    <row r="145" spans="1:10" x14ac:dyDescent="0.3">
      <c r="A145">
        <v>61060000</v>
      </c>
      <c r="B145">
        <v>60450000</v>
      </c>
      <c r="C145">
        <v>18</v>
      </c>
      <c r="D145">
        <v>24</v>
      </c>
      <c r="E145">
        <v>5.6134762834133732E-2</v>
      </c>
      <c r="F145">
        <v>96.575063991931458</v>
      </c>
      <c r="G145">
        <v>76</v>
      </c>
      <c r="H145">
        <v>1.5</v>
      </c>
      <c r="I145">
        <v>5.4212183128783602</v>
      </c>
      <c r="J145">
        <f t="shared" si="2"/>
        <v>5.4212183128783611</v>
      </c>
    </row>
    <row r="146" spans="1:10" x14ac:dyDescent="0.3">
      <c r="A146">
        <v>61060000</v>
      </c>
      <c r="B146">
        <v>60470000</v>
      </c>
      <c r="C146">
        <v>10</v>
      </c>
      <c r="D146">
        <v>22</v>
      </c>
      <c r="E146">
        <v>7.1361269556386081E-2</v>
      </c>
      <c r="F146">
        <v>92.476500075507317</v>
      </c>
      <c r="G146">
        <v>94</v>
      </c>
      <c r="H146">
        <v>1.5</v>
      </c>
      <c r="I146">
        <v>6.5992404495194359</v>
      </c>
      <c r="J146">
        <f t="shared" si="2"/>
        <v>6.5992404495194359</v>
      </c>
    </row>
    <row r="147" spans="1:10" x14ac:dyDescent="0.3">
      <c r="A147">
        <v>61060000</v>
      </c>
      <c r="B147">
        <v>60520000</v>
      </c>
      <c r="C147">
        <v>3</v>
      </c>
      <c r="D147">
        <v>5</v>
      </c>
      <c r="E147">
        <v>0.5488116360940265</v>
      </c>
      <c r="F147">
        <v>175.20195652529841</v>
      </c>
      <c r="G147">
        <v>148</v>
      </c>
      <c r="H147">
        <v>1.5</v>
      </c>
      <c r="I147">
        <v>96.152872407523532</v>
      </c>
      <c r="J147">
        <f t="shared" si="2"/>
        <v>96.152872407523532</v>
      </c>
    </row>
    <row r="148" spans="1:10" x14ac:dyDescent="0.3">
      <c r="A148">
        <v>61060000</v>
      </c>
      <c r="B148">
        <v>60610000</v>
      </c>
      <c r="C148">
        <v>15</v>
      </c>
      <c r="D148">
        <v>28</v>
      </c>
      <c r="E148">
        <v>3.4735258944738563E-2</v>
      </c>
      <c r="F148">
        <v>92.71178569701604</v>
      </c>
      <c r="G148">
        <v>92</v>
      </c>
      <c r="H148">
        <v>1.5</v>
      </c>
      <c r="I148">
        <v>3.2203678834149612</v>
      </c>
      <c r="J148">
        <f t="shared" si="2"/>
        <v>3.2203678834149612</v>
      </c>
    </row>
    <row r="149" spans="1:10" x14ac:dyDescent="0.3">
      <c r="A149">
        <v>61060000</v>
      </c>
      <c r="B149">
        <v>60660000</v>
      </c>
      <c r="C149">
        <v>21</v>
      </c>
      <c r="D149">
        <v>27</v>
      </c>
      <c r="E149">
        <v>3.916389509898708E-2</v>
      </c>
      <c r="F149">
        <v>1514.3114236748031</v>
      </c>
      <c r="G149">
        <v>1608</v>
      </c>
      <c r="H149">
        <v>1.5</v>
      </c>
      <c r="I149">
        <v>59.306333743997769</v>
      </c>
      <c r="J149">
        <f t="shared" si="2"/>
        <v>59.306333743997769</v>
      </c>
    </row>
    <row r="150" spans="1:10" x14ac:dyDescent="0.3">
      <c r="A150">
        <v>61060000</v>
      </c>
      <c r="B150">
        <v>60870000</v>
      </c>
      <c r="C150">
        <v>20</v>
      </c>
      <c r="D150">
        <v>27</v>
      </c>
      <c r="E150">
        <v>3.916389509898708E-2</v>
      </c>
      <c r="F150">
        <v>47.489152397488951</v>
      </c>
      <c r="G150">
        <v>40</v>
      </c>
      <c r="H150">
        <v>1.5</v>
      </c>
      <c r="I150">
        <v>1.859860182835068</v>
      </c>
      <c r="J150">
        <f t="shared" si="2"/>
        <v>1.859860182835068</v>
      </c>
    </row>
    <row r="151" spans="1:10" x14ac:dyDescent="0.3">
      <c r="A151">
        <v>61060000</v>
      </c>
      <c r="B151">
        <v>60930000</v>
      </c>
      <c r="C151">
        <v>16</v>
      </c>
      <c r="D151">
        <v>22</v>
      </c>
      <c r="E151">
        <v>7.1361269556386081E-2</v>
      </c>
      <c r="F151">
        <v>261.45833955600341</v>
      </c>
      <c r="G151">
        <v>239</v>
      </c>
      <c r="H151">
        <v>1.5</v>
      </c>
      <c r="I151">
        <v>18.657999046821079</v>
      </c>
      <c r="J151">
        <f t="shared" si="2"/>
        <v>18.657999046821082</v>
      </c>
    </row>
    <row r="152" spans="1:10" x14ac:dyDescent="0.3">
      <c r="A152">
        <v>61060000</v>
      </c>
      <c r="B152">
        <v>60970000</v>
      </c>
      <c r="C152">
        <v>14</v>
      </c>
      <c r="D152">
        <v>18</v>
      </c>
      <c r="E152">
        <v>0.1153251210380625</v>
      </c>
      <c r="F152">
        <v>343.99690155676888</v>
      </c>
      <c r="G152">
        <v>340</v>
      </c>
      <c r="H152">
        <v>1.5</v>
      </c>
      <c r="I152">
        <v>39.671484308752852</v>
      </c>
      <c r="J152">
        <f t="shared" si="2"/>
        <v>39.671484308752838</v>
      </c>
    </row>
    <row r="153" spans="1:10" s="4" customFormat="1" x14ac:dyDescent="0.3">
      <c r="A153" s="4">
        <v>61060000</v>
      </c>
      <c r="B153" s="4">
        <v>61060000</v>
      </c>
      <c r="C153" s="4">
        <v>0</v>
      </c>
      <c r="D153" s="4">
        <v>0</v>
      </c>
      <c r="E153" s="4">
        <v>1</v>
      </c>
      <c r="F153" s="4">
        <v>601.35666203863968</v>
      </c>
      <c r="G153" s="4">
        <v>561</v>
      </c>
      <c r="H153" s="4">
        <v>1.5</v>
      </c>
      <c r="I153" s="4">
        <v>601.35666203863968</v>
      </c>
      <c r="J153" s="4">
        <f t="shared" si="2"/>
        <v>601.35666203863968</v>
      </c>
    </row>
    <row r="154" spans="1:10" s="4" customFormat="1" x14ac:dyDescent="0.3">
      <c r="A154" s="4">
        <v>61060000</v>
      </c>
      <c r="B154" s="4">
        <v>61070000</v>
      </c>
      <c r="C154" s="4">
        <v>1</v>
      </c>
      <c r="D154" s="4">
        <v>2</v>
      </c>
      <c r="E154" s="4">
        <v>0.78662786106655347</v>
      </c>
      <c r="F154" s="4">
        <v>63.451556666712598</v>
      </c>
      <c r="G154" s="4">
        <v>65</v>
      </c>
      <c r="H154" s="4">
        <v>1.5</v>
      </c>
      <c r="I154" s="4">
        <v>49.912762302079337</v>
      </c>
      <c r="J154" s="4">
        <f t="shared" si="2"/>
        <v>49.912762302079344</v>
      </c>
    </row>
    <row r="155" spans="1:10" x14ac:dyDescent="0.3">
      <c r="A155">
        <v>61060000</v>
      </c>
      <c r="B155">
        <v>61150000</v>
      </c>
      <c r="C155">
        <v>16</v>
      </c>
      <c r="D155">
        <v>24</v>
      </c>
      <c r="E155">
        <v>5.6134762834133732E-2</v>
      </c>
      <c r="F155">
        <v>111.0988685639897</v>
      </c>
      <c r="G155">
        <v>85</v>
      </c>
      <c r="H155">
        <v>1.5</v>
      </c>
      <c r="I155">
        <v>6.2365086379801564</v>
      </c>
      <c r="J155">
        <f t="shared" si="2"/>
        <v>6.2365086379801573</v>
      </c>
    </row>
    <row r="156" spans="1:10" x14ac:dyDescent="0.3">
      <c r="A156">
        <v>61060000</v>
      </c>
      <c r="B156">
        <v>61310000</v>
      </c>
      <c r="C156">
        <v>15</v>
      </c>
      <c r="D156">
        <v>20</v>
      </c>
      <c r="E156">
        <v>9.0717953289412512E-2</v>
      </c>
      <c r="F156">
        <v>61.017799754188893</v>
      </c>
      <c r="G156">
        <v>47</v>
      </c>
      <c r="H156">
        <v>1.5</v>
      </c>
      <c r="I156">
        <v>5.535409907923234</v>
      </c>
      <c r="J156">
        <f t="shared" si="2"/>
        <v>5.535409907923234</v>
      </c>
    </row>
    <row r="157" spans="1:10" x14ac:dyDescent="0.3">
      <c r="A157">
        <v>61060000</v>
      </c>
      <c r="B157">
        <v>61350000</v>
      </c>
      <c r="C157">
        <v>5</v>
      </c>
      <c r="D157">
        <v>8</v>
      </c>
      <c r="E157">
        <v>0.38289288597511212</v>
      </c>
      <c r="F157">
        <v>216.7672406091269</v>
      </c>
      <c r="G157">
        <v>199</v>
      </c>
      <c r="H157">
        <v>1.5</v>
      </c>
      <c r="I157">
        <v>82.998634341690106</v>
      </c>
      <c r="J157">
        <f t="shared" si="2"/>
        <v>82.998634341690121</v>
      </c>
    </row>
    <row r="158" spans="1:10" x14ac:dyDescent="0.3">
      <c r="A158">
        <v>61070000</v>
      </c>
      <c r="B158">
        <v>41700000</v>
      </c>
      <c r="C158">
        <v>19</v>
      </c>
      <c r="D158">
        <v>26</v>
      </c>
      <c r="E158">
        <v>4.415716841969286E-2</v>
      </c>
      <c r="F158">
        <v>83.104114008435047</v>
      </c>
      <c r="G158">
        <v>72</v>
      </c>
      <c r="H158">
        <v>0</v>
      </c>
      <c r="I158">
        <v>3.6696423586398228</v>
      </c>
      <c r="J158">
        <f t="shared" si="2"/>
        <v>3.6696423586398232</v>
      </c>
    </row>
    <row r="159" spans="1:10" x14ac:dyDescent="0.3">
      <c r="A159">
        <v>61070000</v>
      </c>
      <c r="B159">
        <v>41940000</v>
      </c>
      <c r="C159">
        <v>15</v>
      </c>
      <c r="D159">
        <v>19</v>
      </c>
      <c r="E159">
        <v>0.10228420671553751</v>
      </c>
      <c r="F159">
        <v>101.5996670754798</v>
      </c>
      <c r="G159">
        <v>96</v>
      </c>
      <c r="H159">
        <v>0</v>
      </c>
      <c r="I159">
        <v>10.392041349378159</v>
      </c>
      <c r="J159">
        <f t="shared" si="2"/>
        <v>10.392041349378166</v>
      </c>
    </row>
    <row r="160" spans="1:10" x14ac:dyDescent="0.3">
      <c r="A160">
        <v>61070000</v>
      </c>
      <c r="B160">
        <v>60010000</v>
      </c>
      <c r="C160">
        <v>12</v>
      </c>
      <c r="D160">
        <v>16</v>
      </c>
      <c r="E160">
        <v>0.14660696213035021</v>
      </c>
      <c r="F160">
        <v>97.746663517949315</v>
      </c>
      <c r="G160">
        <v>93</v>
      </c>
      <c r="H160">
        <v>0</v>
      </c>
      <c r="I160">
        <v>14.330341396744069</v>
      </c>
      <c r="J160">
        <f t="shared" si="2"/>
        <v>14.33034139674408</v>
      </c>
    </row>
    <row r="161" spans="1:11" x14ac:dyDescent="0.3">
      <c r="A161">
        <v>61070000</v>
      </c>
      <c r="B161">
        <v>60450000</v>
      </c>
      <c r="C161">
        <v>19</v>
      </c>
      <c r="D161">
        <v>26</v>
      </c>
      <c r="E161">
        <v>4.415716841969286E-2</v>
      </c>
      <c r="F161">
        <v>96.575063991931458</v>
      </c>
      <c r="G161">
        <v>76</v>
      </c>
      <c r="H161">
        <v>0</v>
      </c>
      <c r="I161">
        <v>4.2644813658343326</v>
      </c>
      <c r="J161">
        <f t="shared" si="2"/>
        <v>4.2644813658343326</v>
      </c>
    </row>
    <row r="162" spans="1:11" x14ac:dyDescent="0.3">
      <c r="A162">
        <v>61070000</v>
      </c>
      <c r="B162">
        <v>60470000</v>
      </c>
      <c r="C162">
        <v>9</v>
      </c>
      <c r="D162">
        <v>20</v>
      </c>
      <c r="E162">
        <v>9.0717953289412512E-2</v>
      </c>
      <c r="F162">
        <v>92.476500075507317</v>
      </c>
      <c r="G162">
        <v>94</v>
      </c>
      <c r="H162">
        <v>0</v>
      </c>
      <c r="I162">
        <v>8.3892788142182262</v>
      </c>
      <c r="J162">
        <f t="shared" si="2"/>
        <v>8.3892788142182262</v>
      </c>
    </row>
    <row r="163" spans="1:11" x14ac:dyDescent="0.3">
      <c r="A163">
        <v>61070000</v>
      </c>
      <c r="B163">
        <v>60520000</v>
      </c>
      <c r="C163">
        <v>4</v>
      </c>
      <c r="D163">
        <v>6</v>
      </c>
      <c r="E163">
        <v>0.48675225595997168</v>
      </c>
      <c r="F163">
        <v>175.20195652529841</v>
      </c>
      <c r="G163">
        <v>148</v>
      </c>
      <c r="H163">
        <v>0</v>
      </c>
      <c r="I163">
        <v>85.279947587289882</v>
      </c>
      <c r="J163">
        <f t="shared" si="2"/>
        <v>85.279947587289882</v>
      </c>
    </row>
    <row r="164" spans="1:11" x14ac:dyDescent="0.3">
      <c r="A164">
        <v>61070000</v>
      </c>
      <c r="B164">
        <v>60610000</v>
      </c>
      <c r="C164">
        <v>14</v>
      </c>
      <c r="D164">
        <v>26</v>
      </c>
      <c r="E164">
        <v>4.415716841969286E-2</v>
      </c>
      <c r="F164">
        <v>92.71178569701604</v>
      </c>
      <c r="G164">
        <v>92</v>
      </c>
      <c r="H164">
        <v>0</v>
      </c>
      <c r="I164">
        <v>4.0938899355136087</v>
      </c>
      <c r="J164">
        <f t="shared" si="2"/>
        <v>4.0938899355136087</v>
      </c>
    </row>
    <row r="165" spans="1:11" x14ac:dyDescent="0.3">
      <c r="A165">
        <v>61070000</v>
      </c>
      <c r="B165">
        <v>60660000</v>
      </c>
      <c r="C165">
        <v>22</v>
      </c>
      <c r="D165">
        <v>27</v>
      </c>
      <c r="E165">
        <v>3.916389509898708E-2</v>
      </c>
      <c r="F165">
        <v>1514.3114236748031</v>
      </c>
      <c r="G165">
        <v>1608</v>
      </c>
      <c r="H165">
        <v>0</v>
      </c>
      <c r="I165">
        <v>59.306333743997769</v>
      </c>
      <c r="J165">
        <f t="shared" si="2"/>
        <v>59.306333743997769</v>
      </c>
    </row>
    <row r="166" spans="1:11" x14ac:dyDescent="0.3">
      <c r="A166">
        <v>61070000</v>
      </c>
      <c r="B166">
        <v>60870000</v>
      </c>
      <c r="C166">
        <v>21</v>
      </c>
      <c r="D166">
        <v>28</v>
      </c>
      <c r="E166">
        <v>3.4735258944738563E-2</v>
      </c>
      <c r="F166">
        <v>47.489152397488951</v>
      </c>
      <c r="G166">
        <v>40</v>
      </c>
      <c r="H166">
        <v>0</v>
      </c>
      <c r="I166">
        <v>1.649548005592931</v>
      </c>
      <c r="J166">
        <f t="shared" si="2"/>
        <v>1.6495480055929308</v>
      </c>
    </row>
    <row r="167" spans="1:11" x14ac:dyDescent="0.3">
      <c r="A167">
        <v>61070000</v>
      </c>
      <c r="B167">
        <v>60930000</v>
      </c>
      <c r="C167">
        <v>17</v>
      </c>
      <c r="D167">
        <v>23</v>
      </c>
      <c r="E167">
        <v>6.3291768359640732E-2</v>
      </c>
      <c r="F167">
        <v>261.45833955600341</v>
      </c>
      <c r="G167">
        <v>239</v>
      </c>
      <c r="H167">
        <v>0</v>
      </c>
      <c r="I167">
        <v>16.54816066287486</v>
      </c>
      <c r="J167">
        <f t="shared" si="2"/>
        <v>16.54816066287486</v>
      </c>
    </row>
    <row r="168" spans="1:11" x14ac:dyDescent="0.3">
      <c r="A168">
        <v>61070000</v>
      </c>
      <c r="B168">
        <v>60970000</v>
      </c>
      <c r="C168">
        <v>14</v>
      </c>
      <c r="D168">
        <v>18</v>
      </c>
      <c r="E168">
        <v>0.1153251210380625</v>
      </c>
      <c r="F168">
        <v>343.99690155676888</v>
      </c>
      <c r="G168">
        <v>340</v>
      </c>
      <c r="H168">
        <v>0</v>
      </c>
      <c r="I168">
        <v>39.671484308752852</v>
      </c>
      <c r="J168">
        <f t="shared" si="2"/>
        <v>39.671484308752838</v>
      </c>
    </row>
    <row r="169" spans="1:11" s="4" customFormat="1" x14ac:dyDescent="0.3">
      <c r="A169" s="4">
        <v>61070000</v>
      </c>
      <c r="B169" s="4">
        <v>61060000</v>
      </c>
      <c r="C169" s="4">
        <v>1</v>
      </c>
      <c r="D169" s="4">
        <v>2</v>
      </c>
      <c r="E169" s="4">
        <v>0.78662786106655347</v>
      </c>
      <c r="F169" s="4">
        <v>601.35666203863968</v>
      </c>
      <c r="G169" s="4">
        <v>561</v>
      </c>
      <c r="H169" s="4">
        <v>0</v>
      </c>
      <c r="I169" s="4">
        <v>473.0439047975774</v>
      </c>
      <c r="J169" s="4">
        <f t="shared" si="2"/>
        <v>473.0439047975774</v>
      </c>
    </row>
    <row r="170" spans="1:11" s="4" customFormat="1" x14ac:dyDescent="0.3">
      <c r="A170" s="4">
        <v>61070000</v>
      </c>
      <c r="B170" s="4">
        <v>61070000</v>
      </c>
      <c r="C170" s="4">
        <v>0</v>
      </c>
      <c r="D170" s="4">
        <v>0</v>
      </c>
      <c r="E170" s="4">
        <v>1</v>
      </c>
      <c r="F170" s="4">
        <v>63.451556666712598</v>
      </c>
      <c r="G170" s="4">
        <v>65</v>
      </c>
      <c r="H170" s="4">
        <v>0</v>
      </c>
      <c r="I170" s="4">
        <v>63.451556666712598</v>
      </c>
      <c r="J170" s="4">
        <f t="shared" si="2"/>
        <v>63.451556666712598</v>
      </c>
    </row>
    <row r="171" spans="1:11" x14ac:dyDescent="0.3">
      <c r="A171">
        <v>61070000</v>
      </c>
      <c r="B171">
        <v>61150000</v>
      </c>
      <c r="C171">
        <v>17</v>
      </c>
      <c r="D171">
        <v>26</v>
      </c>
      <c r="E171">
        <v>4.415716841969286E-2</v>
      </c>
      <c r="F171">
        <v>111.0988685639897</v>
      </c>
      <c r="G171">
        <v>85</v>
      </c>
      <c r="H171">
        <v>0</v>
      </c>
      <c r="I171">
        <v>4.9058114504174144</v>
      </c>
      <c r="J171">
        <f t="shared" si="2"/>
        <v>4.9058114504174135</v>
      </c>
    </row>
    <row r="172" spans="1:11" x14ac:dyDescent="0.3">
      <c r="A172">
        <v>61070000</v>
      </c>
      <c r="B172">
        <v>61310000</v>
      </c>
      <c r="C172">
        <v>16</v>
      </c>
      <c r="D172">
        <v>22</v>
      </c>
      <c r="E172">
        <v>7.1361269556386081E-2</v>
      </c>
      <c r="F172">
        <v>61.017799754188893</v>
      </c>
      <c r="G172">
        <v>47</v>
      </c>
      <c r="H172">
        <v>0</v>
      </c>
      <c r="I172">
        <v>4.3543076559962612</v>
      </c>
      <c r="J172">
        <f t="shared" si="2"/>
        <v>4.3543076559962621</v>
      </c>
    </row>
    <row r="173" spans="1:11" x14ac:dyDescent="0.3">
      <c r="A173">
        <v>61070000</v>
      </c>
      <c r="B173">
        <v>61350000</v>
      </c>
      <c r="C173">
        <v>6</v>
      </c>
      <c r="D173">
        <v>9</v>
      </c>
      <c r="E173">
        <v>0.33959552564493911</v>
      </c>
      <c r="F173">
        <v>216.7672406091269</v>
      </c>
      <c r="G173">
        <v>199</v>
      </c>
      <c r="H173">
        <v>0</v>
      </c>
      <c r="I173">
        <v>73.61318501725944</v>
      </c>
      <c r="J173">
        <f t="shared" si="2"/>
        <v>73.61318501725944</v>
      </c>
    </row>
    <row r="175" spans="1:11" x14ac:dyDescent="0.3">
      <c r="A175" t="s">
        <v>69</v>
      </c>
    </row>
    <row r="176" spans="1:11" x14ac:dyDescent="0.3">
      <c r="A176" s="3" t="s">
        <v>41</v>
      </c>
      <c r="B176" s="3" t="s">
        <v>42</v>
      </c>
      <c r="C176" s="3" t="s">
        <v>43</v>
      </c>
      <c r="D176" s="3" t="s">
        <v>44</v>
      </c>
      <c r="E176" s="3" t="s">
        <v>45</v>
      </c>
      <c r="F176" s="3" t="s">
        <v>46</v>
      </c>
      <c r="G176" s="3" t="s">
        <v>4</v>
      </c>
      <c r="H176" s="3" t="s">
        <v>36</v>
      </c>
      <c r="I176" s="3" t="s">
        <v>64</v>
      </c>
      <c r="J176" s="3" t="s">
        <v>65</v>
      </c>
      <c r="K176" s="5" t="s">
        <v>47</v>
      </c>
    </row>
    <row r="177" spans="1:12" x14ac:dyDescent="0.3">
      <c r="A177">
        <v>61060000</v>
      </c>
      <c r="B177">
        <v>41700000</v>
      </c>
      <c r="C177">
        <v>18</v>
      </c>
      <c r="D177">
        <v>24</v>
      </c>
      <c r="E177">
        <v>5.6134762834133732E-2</v>
      </c>
      <c r="F177">
        <v>83.104114008435047</v>
      </c>
      <c r="G177">
        <v>72</v>
      </c>
      <c r="H177">
        <v>1.5</v>
      </c>
      <c r="I177">
        <v>4.6650297304043118</v>
      </c>
      <c r="J177">
        <v>1009.468792004253</v>
      </c>
      <c r="K177">
        <f>SUM(I177:I192)</f>
        <v>1009.468792004253</v>
      </c>
      <c r="L177" t="s">
        <v>80</v>
      </c>
    </row>
    <row r="178" spans="1:12" x14ac:dyDescent="0.3">
      <c r="A178">
        <v>61060000</v>
      </c>
      <c r="B178">
        <v>41940000</v>
      </c>
      <c r="C178">
        <v>14</v>
      </c>
      <c r="D178">
        <v>18</v>
      </c>
      <c r="E178">
        <v>0.1153251210380625</v>
      </c>
      <c r="F178">
        <v>101.5996670754798</v>
      </c>
      <c r="G178">
        <v>96</v>
      </c>
      <c r="H178">
        <v>1.5</v>
      </c>
      <c r="I178">
        <v>11.716993902906561</v>
      </c>
      <c r="J178">
        <v>1009.468792004253</v>
      </c>
    </row>
    <row r="179" spans="1:12" x14ac:dyDescent="0.3">
      <c r="A179">
        <v>61060000</v>
      </c>
      <c r="B179">
        <v>60010000</v>
      </c>
      <c r="C179">
        <v>11</v>
      </c>
      <c r="D179">
        <v>15</v>
      </c>
      <c r="E179">
        <v>0.16529888822158659</v>
      </c>
      <c r="F179">
        <v>97.746663517949315</v>
      </c>
      <c r="G179">
        <v>93</v>
      </c>
      <c r="H179">
        <v>1.5</v>
      </c>
      <c r="I179">
        <v>16.157414806886539</v>
      </c>
      <c r="J179">
        <v>1009.468792004253</v>
      </c>
    </row>
    <row r="180" spans="1:12" x14ac:dyDescent="0.3">
      <c r="A180">
        <v>61060000</v>
      </c>
      <c r="B180">
        <v>60450000</v>
      </c>
      <c r="C180">
        <v>18</v>
      </c>
      <c r="D180">
        <v>24</v>
      </c>
      <c r="E180">
        <v>5.6134762834133732E-2</v>
      </c>
      <c r="F180">
        <v>96.575063991931458</v>
      </c>
      <c r="G180">
        <v>76</v>
      </c>
      <c r="H180">
        <v>1.5</v>
      </c>
      <c r="I180">
        <v>5.4212183128783602</v>
      </c>
      <c r="J180">
        <v>1009.468792004253</v>
      </c>
    </row>
    <row r="181" spans="1:12" x14ac:dyDescent="0.3">
      <c r="A181">
        <v>61060000</v>
      </c>
      <c r="B181">
        <v>60470000</v>
      </c>
      <c r="C181">
        <v>10</v>
      </c>
      <c r="D181">
        <v>22</v>
      </c>
      <c r="E181">
        <v>7.1361269556386081E-2</v>
      </c>
      <c r="F181">
        <v>92.476500075507317</v>
      </c>
      <c r="G181">
        <v>94</v>
      </c>
      <c r="H181">
        <v>1.5</v>
      </c>
      <c r="I181">
        <v>6.5992404495194359</v>
      </c>
      <c r="J181">
        <v>1009.468792004253</v>
      </c>
    </row>
    <row r="182" spans="1:12" x14ac:dyDescent="0.3">
      <c r="A182">
        <v>61060000</v>
      </c>
      <c r="B182">
        <v>60520000</v>
      </c>
      <c r="C182">
        <v>3</v>
      </c>
      <c r="D182">
        <v>5</v>
      </c>
      <c r="E182">
        <v>0.5488116360940265</v>
      </c>
      <c r="F182">
        <v>175.20195652529841</v>
      </c>
      <c r="G182">
        <v>148</v>
      </c>
      <c r="H182">
        <v>1.5</v>
      </c>
      <c r="I182">
        <v>96.152872407523532</v>
      </c>
      <c r="J182">
        <v>1009.468792004253</v>
      </c>
    </row>
    <row r="183" spans="1:12" x14ac:dyDescent="0.3">
      <c r="A183">
        <v>61060000</v>
      </c>
      <c r="B183">
        <v>60610000</v>
      </c>
      <c r="C183">
        <v>15</v>
      </c>
      <c r="D183">
        <v>28</v>
      </c>
      <c r="E183">
        <v>3.4735258944738563E-2</v>
      </c>
      <c r="F183">
        <v>92.71178569701604</v>
      </c>
      <c r="G183">
        <v>92</v>
      </c>
      <c r="H183">
        <v>1.5</v>
      </c>
      <c r="I183">
        <v>3.2203678834149612</v>
      </c>
      <c r="J183">
        <v>1009.468792004253</v>
      </c>
    </row>
    <row r="184" spans="1:12" x14ac:dyDescent="0.3">
      <c r="A184">
        <v>61060000</v>
      </c>
      <c r="B184">
        <v>60660000</v>
      </c>
      <c r="C184">
        <v>21</v>
      </c>
      <c r="D184">
        <v>27</v>
      </c>
      <c r="E184">
        <v>3.916389509898708E-2</v>
      </c>
      <c r="F184">
        <v>1514.3114236748031</v>
      </c>
      <c r="G184">
        <v>1608</v>
      </c>
      <c r="H184">
        <v>1.5</v>
      </c>
      <c r="I184">
        <v>59.306333743997769</v>
      </c>
      <c r="J184">
        <v>1009.468792004253</v>
      </c>
    </row>
    <row r="185" spans="1:12" x14ac:dyDescent="0.3">
      <c r="A185">
        <v>61060000</v>
      </c>
      <c r="B185">
        <v>60870000</v>
      </c>
      <c r="C185">
        <v>20</v>
      </c>
      <c r="D185">
        <v>27</v>
      </c>
      <c r="E185">
        <v>3.916389509898708E-2</v>
      </c>
      <c r="F185">
        <v>47.489152397488951</v>
      </c>
      <c r="G185">
        <v>40</v>
      </c>
      <c r="H185">
        <v>1.5</v>
      </c>
      <c r="I185">
        <v>1.859860182835068</v>
      </c>
      <c r="J185">
        <v>1009.468792004253</v>
      </c>
    </row>
    <row r="186" spans="1:12" x14ac:dyDescent="0.3">
      <c r="A186">
        <v>61060000</v>
      </c>
      <c r="B186">
        <v>60930000</v>
      </c>
      <c r="C186">
        <v>16</v>
      </c>
      <c r="D186">
        <v>22</v>
      </c>
      <c r="E186">
        <v>7.1361269556386081E-2</v>
      </c>
      <c r="F186">
        <v>261.45833955600341</v>
      </c>
      <c r="G186">
        <v>239</v>
      </c>
      <c r="H186">
        <v>1.5</v>
      </c>
      <c r="I186">
        <v>18.657999046821079</v>
      </c>
      <c r="J186">
        <v>1009.468792004253</v>
      </c>
    </row>
    <row r="187" spans="1:12" x14ac:dyDescent="0.3">
      <c r="A187">
        <v>61060000</v>
      </c>
      <c r="B187">
        <v>60970000</v>
      </c>
      <c r="C187">
        <v>14</v>
      </c>
      <c r="D187">
        <v>18</v>
      </c>
      <c r="E187">
        <v>0.1153251210380625</v>
      </c>
      <c r="F187">
        <v>343.99690155676888</v>
      </c>
      <c r="G187">
        <v>340</v>
      </c>
      <c r="H187">
        <v>1.5</v>
      </c>
      <c r="I187">
        <v>39.671484308752852</v>
      </c>
      <c r="J187">
        <v>1009.468792004253</v>
      </c>
    </row>
    <row r="188" spans="1:12" s="4" customFormat="1" x14ac:dyDescent="0.3">
      <c r="A188" s="4">
        <v>61060000</v>
      </c>
      <c r="B188" s="4">
        <v>61060000</v>
      </c>
      <c r="C188" s="4">
        <v>0</v>
      </c>
      <c r="D188" s="4">
        <v>0</v>
      </c>
      <c r="E188" s="4">
        <v>1</v>
      </c>
      <c r="F188" s="4">
        <v>601.35666203863968</v>
      </c>
      <c r="G188" s="4">
        <v>561</v>
      </c>
      <c r="H188" s="4">
        <v>1.5</v>
      </c>
      <c r="I188" s="4">
        <v>601.35666203863968</v>
      </c>
      <c r="J188" s="4">
        <v>1009.468792004253</v>
      </c>
    </row>
    <row r="189" spans="1:12" s="4" customFormat="1" x14ac:dyDescent="0.3">
      <c r="A189" s="4">
        <v>61060000</v>
      </c>
      <c r="B189" s="4">
        <v>61070000</v>
      </c>
      <c r="C189" s="4">
        <v>1</v>
      </c>
      <c r="D189" s="4">
        <v>2</v>
      </c>
      <c r="E189" s="4">
        <v>0.78662786106655347</v>
      </c>
      <c r="F189" s="4">
        <v>63.451556666712598</v>
      </c>
      <c r="G189" s="4">
        <v>65</v>
      </c>
      <c r="H189" s="4">
        <v>1.5</v>
      </c>
      <c r="I189" s="4">
        <v>49.912762302079337</v>
      </c>
      <c r="J189" s="4">
        <v>1009.468792004253</v>
      </c>
    </row>
    <row r="190" spans="1:12" x14ac:dyDescent="0.3">
      <c r="A190">
        <v>61060000</v>
      </c>
      <c r="B190">
        <v>61150000</v>
      </c>
      <c r="C190">
        <v>16</v>
      </c>
      <c r="D190">
        <v>24</v>
      </c>
      <c r="E190">
        <v>5.6134762834133732E-2</v>
      </c>
      <c r="F190">
        <v>111.0988685639897</v>
      </c>
      <c r="G190">
        <v>85</v>
      </c>
      <c r="H190">
        <v>1.5</v>
      </c>
      <c r="I190">
        <v>6.2365086379801564</v>
      </c>
      <c r="J190">
        <v>1009.468792004253</v>
      </c>
    </row>
    <row r="191" spans="1:12" x14ac:dyDescent="0.3">
      <c r="A191">
        <v>61060000</v>
      </c>
      <c r="B191">
        <v>61310000</v>
      </c>
      <c r="C191">
        <v>15</v>
      </c>
      <c r="D191">
        <v>20</v>
      </c>
      <c r="E191">
        <v>9.0717953289412512E-2</v>
      </c>
      <c r="F191">
        <v>61.017799754188893</v>
      </c>
      <c r="G191">
        <v>47</v>
      </c>
      <c r="H191">
        <v>1.5</v>
      </c>
      <c r="I191">
        <v>5.535409907923234</v>
      </c>
      <c r="J191">
        <v>1009.468792004253</v>
      </c>
    </row>
    <row r="192" spans="1:12" x14ac:dyDescent="0.3">
      <c r="A192">
        <v>61060000</v>
      </c>
      <c r="B192">
        <v>61350000</v>
      </c>
      <c r="C192">
        <v>5</v>
      </c>
      <c r="D192">
        <v>8</v>
      </c>
      <c r="E192">
        <v>0.38289288597511212</v>
      </c>
      <c r="F192">
        <v>216.7672406091269</v>
      </c>
      <c r="G192">
        <v>199</v>
      </c>
      <c r="H192">
        <v>1.5</v>
      </c>
      <c r="I192">
        <v>82.998634341690106</v>
      </c>
      <c r="J192">
        <v>1009.468792004253</v>
      </c>
    </row>
    <row r="193" spans="1:12" x14ac:dyDescent="0.3">
      <c r="A193">
        <v>61070000</v>
      </c>
      <c r="B193">
        <v>41700000</v>
      </c>
      <c r="C193">
        <v>19</v>
      </c>
      <c r="D193">
        <v>26</v>
      </c>
      <c r="E193">
        <v>4.415716841969286E-2</v>
      </c>
      <c r="F193">
        <v>83.104114008435047</v>
      </c>
      <c r="G193">
        <v>72</v>
      </c>
      <c r="H193">
        <v>0</v>
      </c>
      <c r="I193">
        <v>3.6696423586398228</v>
      </c>
      <c r="J193">
        <v>866.96391511679963</v>
      </c>
      <c r="K193">
        <f>SUM(I193:I208)</f>
        <v>866.96391511679963</v>
      </c>
      <c r="L193" t="s">
        <v>80</v>
      </c>
    </row>
    <row r="194" spans="1:12" x14ac:dyDescent="0.3">
      <c r="A194">
        <v>61070000</v>
      </c>
      <c r="B194">
        <v>41940000</v>
      </c>
      <c r="C194">
        <v>15</v>
      </c>
      <c r="D194">
        <v>19</v>
      </c>
      <c r="E194">
        <v>0.10228420671553751</v>
      </c>
      <c r="F194">
        <v>101.5996670754798</v>
      </c>
      <c r="G194">
        <v>96</v>
      </c>
      <c r="H194">
        <v>0</v>
      </c>
      <c r="I194">
        <v>10.392041349378159</v>
      </c>
      <c r="J194">
        <v>866.96391511679963</v>
      </c>
    </row>
    <row r="195" spans="1:12" x14ac:dyDescent="0.3">
      <c r="A195">
        <v>61070000</v>
      </c>
      <c r="B195">
        <v>60010000</v>
      </c>
      <c r="C195">
        <v>12</v>
      </c>
      <c r="D195">
        <v>16</v>
      </c>
      <c r="E195">
        <v>0.14660696213035021</v>
      </c>
      <c r="F195">
        <v>97.746663517949315</v>
      </c>
      <c r="G195">
        <v>93</v>
      </c>
      <c r="H195">
        <v>0</v>
      </c>
      <c r="I195">
        <v>14.330341396744069</v>
      </c>
      <c r="J195">
        <v>866.96391511679963</v>
      </c>
    </row>
    <row r="196" spans="1:12" x14ac:dyDescent="0.3">
      <c r="A196">
        <v>61070000</v>
      </c>
      <c r="B196">
        <v>60450000</v>
      </c>
      <c r="C196">
        <v>19</v>
      </c>
      <c r="D196">
        <v>26</v>
      </c>
      <c r="E196">
        <v>4.415716841969286E-2</v>
      </c>
      <c r="F196">
        <v>96.575063991931458</v>
      </c>
      <c r="G196">
        <v>76</v>
      </c>
      <c r="H196">
        <v>0</v>
      </c>
      <c r="I196">
        <v>4.2644813658343326</v>
      </c>
      <c r="J196">
        <v>866.96391511679963</v>
      </c>
    </row>
    <row r="197" spans="1:12" x14ac:dyDescent="0.3">
      <c r="A197">
        <v>61070000</v>
      </c>
      <c r="B197">
        <v>60470000</v>
      </c>
      <c r="C197">
        <v>9</v>
      </c>
      <c r="D197">
        <v>20</v>
      </c>
      <c r="E197">
        <v>9.0717953289412512E-2</v>
      </c>
      <c r="F197">
        <v>92.476500075507317</v>
      </c>
      <c r="G197">
        <v>94</v>
      </c>
      <c r="H197">
        <v>0</v>
      </c>
      <c r="I197">
        <v>8.3892788142182262</v>
      </c>
      <c r="J197">
        <v>866.96391511679963</v>
      </c>
    </row>
    <row r="198" spans="1:12" x14ac:dyDescent="0.3">
      <c r="A198">
        <v>61070000</v>
      </c>
      <c r="B198">
        <v>60520000</v>
      </c>
      <c r="C198">
        <v>4</v>
      </c>
      <c r="D198">
        <v>6</v>
      </c>
      <c r="E198">
        <v>0.48675225595997168</v>
      </c>
      <c r="F198">
        <v>175.20195652529841</v>
      </c>
      <c r="G198">
        <v>148</v>
      </c>
      <c r="H198">
        <v>0</v>
      </c>
      <c r="I198">
        <v>85.279947587289882</v>
      </c>
      <c r="J198">
        <v>866.96391511679963</v>
      </c>
    </row>
    <row r="199" spans="1:12" x14ac:dyDescent="0.3">
      <c r="A199">
        <v>61070000</v>
      </c>
      <c r="B199">
        <v>60610000</v>
      </c>
      <c r="C199">
        <v>14</v>
      </c>
      <c r="D199">
        <v>26</v>
      </c>
      <c r="E199">
        <v>4.415716841969286E-2</v>
      </c>
      <c r="F199">
        <v>92.71178569701604</v>
      </c>
      <c r="G199">
        <v>92</v>
      </c>
      <c r="H199">
        <v>0</v>
      </c>
      <c r="I199">
        <v>4.0938899355136087</v>
      </c>
      <c r="J199">
        <v>866.96391511679963</v>
      </c>
    </row>
    <row r="200" spans="1:12" x14ac:dyDescent="0.3">
      <c r="A200">
        <v>61070000</v>
      </c>
      <c r="B200">
        <v>60660000</v>
      </c>
      <c r="C200">
        <v>22</v>
      </c>
      <c r="D200">
        <v>27</v>
      </c>
      <c r="E200">
        <v>3.916389509898708E-2</v>
      </c>
      <c r="F200">
        <v>1514.3114236748031</v>
      </c>
      <c r="G200">
        <v>1608</v>
      </c>
      <c r="H200">
        <v>0</v>
      </c>
      <c r="I200">
        <v>59.306333743997769</v>
      </c>
      <c r="J200">
        <v>866.96391511679963</v>
      </c>
    </row>
    <row r="201" spans="1:12" x14ac:dyDescent="0.3">
      <c r="A201">
        <v>61070000</v>
      </c>
      <c r="B201">
        <v>60870000</v>
      </c>
      <c r="C201">
        <v>21</v>
      </c>
      <c r="D201">
        <v>28</v>
      </c>
      <c r="E201">
        <v>3.4735258944738563E-2</v>
      </c>
      <c r="F201">
        <v>47.489152397488951</v>
      </c>
      <c r="G201">
        <v>40</v>
      </c>
      <c r="H201">
        <v>0</v>
      </c>
      <c r="I201">
        <v>1.649548005592931</v>
      </c>
      <c r="J201">
        <v>866.96391511679963</v>
      </c>
    </row>
    <row r="202" spans="1:12" x14ac:dyDescent="0.3">
      <c r="A202">
        <v>61070000</v>
      </c>
      <c r="B202">
        <v>60930000</v>
      </c>
      <c r="C202">
        <v>17</v>
      </c>
      <c r="D202">
        <v>23</v>
      </c>
      <c r="E202">
        <v>6.3291768359640732E-2</v>
      </c>
      <c r="F202">
        <v>261.45833955600341</v>
      </c>
      <c r="G202">
        <v>239</v>
      </c>
      <c r="H202">
        <v>0</v>
      </c>
      <c r="I202">
        <v>16.54816066287486</v>
      </c>
      <c r="J202">
        <v>866.96391511679963</v>
      </c>
    </row>
    <row r="203" spans="1:12" x14ac:dyDescent="0.3">
      <c r="A203">
        <v>61070000</v>
      </c>
      <c r="B203">
        <v>60970000</v>
      </c>
      <c r="C203">
        <v>14</v>
      </c>
      <c r="D203">
        <v>18</v>
      </c>
      <c r="E203">
        <v>0.1153251210380625</v>
      </c>
      <c r="F203">
        <v>343.99690155676888</v>
      </c>
      <c r="G203">
        <v>340</v>
      </c>
      <c r="H203">
        <v>0</v>
      </c>
      <c r="I203">
        <v>39.671484308752852</v>
      </c>
      <c r="J203">
        <v>866.96391511679963</v>
      </c>
    </row>
    <row r="204" spans="1:12" s="4" customFormat="1" x14ac:dyDescent="0.3">
      <c r="A204" s="4">
        <v>61070000</v>
      </c>
      <c r="B204" s="4">
        <v>61060000</v>
      </c>
      <c r="C204" s="4">
        <v>1</v>
      </c>
      <c r="D204" s="4">
        <v>2</v>
      </c>
      <c r="E204" s="4">
        <v>0.78662786106655347</v>
      </c>
      <c r="F204" s="4">
        <v>601.35666203863968</v>
      </c>
      <c r="G204" s="4">
        <v>561</v>
      </c>
      <c r="H204" s="4">
        <v>0</v>
      </c>
      <c r="I204" s="4">
        <v>473.0439047975774</v>
      </c>
      <c r="J204" s="4">
        <v>866.96391511679963</v>
      </c>
    </row>
    <row r="205" spans="1:12" s="4" customFormat="1" x14ac:dyDescent="0.3">
      <c r="A205" s="4">
        <v>61070000</v>
      </c>
      <c r="B205" s="4">
        <v>61070000</v>
      </c>
      <c r="C205" s="4">
        <v>0</v>
      </c>
      <c r="D205" s="4">
        <v>0</v>
      </c>
      <c r="E205" s="4">
        <v>1</v>
      </c>
      <c r="F205" s="4">
        <v>63.451556666712598</v>
      </c>
      <c r="G205" s="4">
        <v>65</v>
      </c>
      <c r="H205" s="4">
        <v>0</v>
      </c>
      <c r="I205" s="4">
        <v>63.451556666712598</v>
      </c>
      <c r="J205" s="4">
        <v>866.96391511679963</v>
      </c>
    </row>
    <row r="206" spans="1:12" x14ac:dyDescent="0.3">
      <c r="A206">
        <v>61070000</v>
      </c>
      <c r="B206">
        <v>61150000</v>
      </c>
      <c r="C206">
        <v>17</v>
      </c>
      <c r="D206">
        <v>26</v>
      </c>
      <c r="E206">
        <v>4.415716841969286E-2</v>
      </c>
      <c r="F206">
        <v>111.0988685639897</v>
      </c>
      <c r="G206">
        <v>85</v>
      </c>
      <c r="H206">
        <v>0</v>
      </c>
      <c r="I206">
        <v>4.9058114504174144</v>
      </c>
      <c r="J206">
        <v>866.96391511679963</v>
      </c>
    </row>
    <row r="207" spans="1:12" x14ac:dyDescent="0.3">
      <c r="A207">
        <v>61070000</v>
      </c>
      <c r="B207">
        <v>61310000</v>
      </c>
      <c r="C207">
        <v>16</v>
      </c>
      <c r="D207">
        <v>22</v>
      </c>
      <c r="E207">
        <v>7.1361269556386081E-2</v>
      </c>
      <c r="F207">
        <v>61.017799754188893</v>
      </c>
      <c r="G207">
        <v>47</v>
      </c>
      <c r="H207">
        <v>0</v>
      </c>
      <c r="I207">
        <v>4.3543076559962612</v>
      </c>
      <c r="J207">
        <v>866.96391511679963</v>
      </c>
    </row>
    <row r="208" spans="1:12" x14ac:dyDescent="0.3">
      <c r="A208">
        <v>61070000</v>
      </c>
      <c r="B208">
        <v>61350000</v>
      </c>
      <c r="C208">
        <v>6</v>
      </c>
      <c r="D208">
        <v>9</v>
      </c>
      <c r="E208">
        <v>0.33959552564493911</v>
      </c>
      <c r="F208">
        <v>216.7672406091269</v>
      </c>
      <c r="G208">
        <v>199</v>
      </c>
      <c r="H208">
        <v>0</v>
      </c>
      <c r="I208">
        <v>73.61318501725944</v>
      </c>
      <c r="J208">
        <v>866.96391511679963</v>
      </c>
    </row>
    <row r="210" spans="1:14" x14ac:dyDescent="0.3">
      <c r="A210" t="s">
        <v>82</v>
      </c>
    </row>
    <row r="211" spans="1:14" x14ac:dyDescent="0.3">
      <c r="A211" s="3" t="s">
        <v>41</v>
      </c>
      <c r="B211" s="3" t="s">
        <v>42</v>
      </c>
      <c r="C211" s="3" t="s">
        <v>43</v>
      </c>
      <c r="D211" s="3" t="s">
        <v>44</v>
      </c>
      <c r="E211" s="3" t="s">
        <v>45</v>
      </c>
      <c r="F211" s="3" t="s">
        <v>46</v>
      </c>
      <c r="G211" s="3" t="s">
        <v>4</v>
      </c>
      <c r="H211" s="3" t="s">
        <v>36</v>
      </c>
      <c r="I211" s="3" t="s">
        <v>64</v>
      </c>
      <c r="J211" s="3" t="s">
        <v>65</v>
      </c>
      <c r="K211" s="3" t="s">
        <v>66</v>
      </c>
      <c r="L211" s="5" t="s">
        <v>47</v>
      </c>
    </row>
    <row r="212" spans="1:14" s="4" customFormat="1" x14ac:dyDescent="0.3">
      <c r="A212" s="4">
        <v>61060000</v>
      </c>
      <c r="B212" s="4">
        <v>61060000</v>
      </c>
      <c r="C212" s="4">
        <v>0</v>
      </c>
      <c r="D212" s="4">
        <v>0</v>
      </c>
      <c r="E212" s="4">
        <v>1</v>
      </c>
      <c r="F212" s="4">
        <v>601.35666203863968</v>
      </c>
      <c r="G212" s="4">
        <v>561</v>
      </c>
      <c r="H212" s="4">
        <v>1.5</v>
      </c>
      <c r="I212" s="4">
        <v>601.35666203863968</v>
      </c>
      <c r="J212" s="4">
        <v>1009.468792004253</v>
      </c>
      <c r="K212" s="4">
        <v>148.59300375416461</v>
      </c>
      <c r="L212" s="4">
        <f>H212*100000/J212</f>
        <v>148.59300375416461</v>
      </c>
      <c r="M212" s="4" t="s">
        <v>80</v>
      </c>
      <c r="N212" s="4" t="s">
        <v>89</v>
      </c>
    </row>
    <row r="213" spans="1:14" x14ac:dyDescent="0.3">
      <c r="A213">
        <v>61070000</v>
      </c>
      <c r="B213">
        <v>61070000</v>
      </c>
      <c r="C213">
        <v>0</v>
      </c>
      <c r="D213">
        <v>0</v>
      </c>
      <c r="E213">
        <v>1</v>
      </c>
      <c r="F213">
        <v>63.451556666712598</v>
      </c>
      <c r="G213">
        <v>65</v>
      </c>
      <c r="H213">
        <v>0</v>
      </c>
      <c r="I213">
        <v>63.451556666712598</v>
      </c>
      <c r="J213">
        <v>866.96391511679963</v>
      </c>
      <c r="K213">
        <v>0</v>
      </c>
      <c r="L213">
        <f>H213*100000/J213</f>
        <v>0</v>
      </c>
      <c r="M213" t="s">
        <v>80</v>
      </c>
    </row>
    <row r="215" spans="1:14" x14ac:dyDescent="0.3">
      <c r="A215" t="s">
        <v>70</v>
      </c>
    </row>
    <row r="216" spans="1:14" x14ac:dyDescent="0.3">
      <c r="A216" s="3" t="s">
        <v>41</v>
      </c>
      <c r="B216" s="3" t="s">
        <v>42</v>
      </c>
      <c r="C216" s="3" t="s">
        <v>43</v>
      </c>
      <c r="D216" s="3" t="s">
        <v>44</v>
      </c>
      <c r="E216" s="3" t="s">
        <v>45</v>
      </c>
      <c r="F216" s="3" t="s">
        <v>46</v>
      </c>
      <c r="G216" s="3" t="s">
        <v>4</v>
      </c>
      <c r="H216" s="3" t="s">
        <v>65</v>
      </c>
      <c r="I216" s="3" t="s">
        <v>71</v>
      </c>
      <c r="J216" s="3" t="s">
        <v>72</v>
      </c>
      <c r="K216" s="3" t="s">
        <v>73</v>
      </c>
      <c r="L216" s="3" t="s">
        <v>74</v>
      </c>
    </row>
    <row r="217" spans="1:14" x14ac:dyDescent="0.3">
      <c r="A217">
        <v>61070000</v>
      </c>
      <c r="B217">
        <v>60660000</v>
      </c>
      <c r="C217">
        <v>22</v>
      </c>
      <c r="D217">
        <v>27</v>
      </c>
      <c r="E217">
        <v>3.916389509898708E-2</v>
      </c>
      <c r="F217">
        <v>1514.3114236748031</v>
      </c>
      <c r="G217">
        <v>1608</v>
      </c>
      <c r="H217">
        <v>866.96391511679963</v>
      </c>
      <c r="I217">
        <v>0.75</v>
      </c>
      <c r="J217">
        <v>10.10260487062413</v>
      </c>
      <c r="K217">
        <v>7423.8279097781387</v>
      </c>
      <c r="L217">
        <v>1514.3114236748031</v>
      </c>
      <c r="M217" t="s">
        <v>90</v>
      </c>
    </row>
    <row r="218" spans="1:14" x14ac:dyDescent="0.3">
      <c r="A218" s="4">
        <v>61070000</v>
      </c>
      <c r="B218" s="4">
        <v>61060000</v>
      </c>
      <c r="C218" s="4">
        <v>1</v>
      </c>
      <c r="D218" s="4">
        <v>2</v>
      </c>
      <c r="E218" s="4">
        <v>0.78662786106655347</v>
      </c>
      <c r="F218" s="4">
        <v>601.35666203863968</v>
      </c>
      <c r="G218" s="4">
        <v>561</v>
      </c>
      <c r="H218" s="4">
        <v>866.96391511679963</v>
      </c>
      <c r="I218" s="4">
        <v>1.5</v>
      </c>
      <c r="J218" s="4">
        <v>148.59300375416461</v>
      </c>
      <c r="K218" s="4">
        <v>1009.468792004253</v>
      </c>
      <c r="L218" s="4">
        <v>601.35666203863968</v>
      </c>
    </row>
    <row r="220" spans="1:14" x14ac:dyDescent="0.3">
      <c r="A220" t="s">
        <v>76</v>
      </c>
    </row>
    <row r="221" spans="1:14" x14ac:dyDescent="0.3">
      <c r="A221" s="3" t="s">
        <v>41</v>
      </c>
      <c r="B221" s="3" t="s">
        <v>42</v>
      </c>
      <c r="C221" s="3" t="s">
        <v>43</v>
      </c>
      <c r="D221" s="3" t="s">
        <v>44</v>
      </c>
      <c r="E221" s="3" t="s">
        <v>45</v>
      </c>
      <c r="F221" s="3" t="s">
        <v>46</v>
      </c>
      <c r="G221" s="3" t="s">
        <v>4</v>
      </c>
      <c r="H221" s="3" t="s">
        <v>65</v>
      </c>
      <c r="I221" s="3" t="s">
        <v>71</v>
      </c>
      <c r="J221" s="3" t="s">
        <v>72</v>
      </c>
      <c r="K221" s="3" t="s">
        <v>73</v>
      </c>
      <c r="L221" s="3" t="s">
        <v>74</v>
      </c>
      <c r="M221" s="3" t="s">
        <v>75</v>
      </c>
    </row>
    <row r="222" spans="1:14" x14ac:dyDescent="0.3">
      <c r="A222">
        <v>61070000</v>
      </c>
      <c r="B222">
        <v>60660000</v>
      </c>
      <c r="C222">
        <v>22</v>
      </c>
      <c r="D222">
        <v>27</v>
      </c>
      <c r="E222">
        <v>3.916389509898708E-2</v>
      </c>
      <c r="F222">
        <v>1514.3114236748031</v>
      </c>
      <c r="G222">
        <v>1608</v>
      </c>
      <c r="H222">
        <v>866.96391511679963</v>
      </c>
      <c r="I222">
        <v>0.75</v>
      </c>
      <c r="J222">
        <v>10.10260487062413</v>
      </c>
      <c r="K222">
        <v>7423.8279097781387</v>
      </c>
      <c r="L222">
        <v>1514.3114236748031</v>
      </c>
      <c r="M222">
        <v>0.39565735737963947</v>
      </c>
      <c r="N222" t="s">
        <v>83</v>
      </c>
    </row>
    <row r="223" spans="1:14" x14ac:dyDescent="0.3">
      <c r="A223" s="4">
        <v>61070000</v>
      </c>
      <c r="B223" s="4">
        <v>61060000</v>
      </c>
      <c r="C223" s="4">
        <v>1</v>
      </c>
      <c r="D223" s="4">
        <v>2</v>
      </c>
      <c r="E223" s="4">
        <v>0.78662786106655347</v>
      </c>
      <c r="F223" s="4">
        <v>601.35666203863968</v>
      </c>
      <c r="G223" s="4">
        <v>561</v>
      </c>
      <c r="H223" s="4">
        <v>866.96391511679963</v>
      </c>
      <c r="I223" s="4">
        <v>1.5</v>
      </c>
      <c r="J223" s="4">
        <v>148.59300375416461</v>
      </c>
      <c r="K223" s="4">
        <v>1009.468792004253</v>
      </c>
      <c r="L223" s="4">
        <v>601.35666203863968</v>
      </c>
      <c r="M223" s="4">
        <v>116.8873967125929</v>
      </c>
    </row>
    <row r="225" spans="1:1" x14ac:dyDescent="0.3">
      <c r="A225" t="s">
        <v>77</v>
      </c>
    </row>
    <row r="226" spans="1:1" x14ac:dyDescent="0.3">
      <c r="A226">
        <f>M223+M222</f>
        <v>117.28305406997254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La Roque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Vincent</dc:creator>
  <cp:lastModifiedBy>Cyril Vincent</cp:lastModifiedBy>
  <dcterms:created xsi:type="dcterms:W3CDTF">2015-06-05T18:19:34Z</dcterms:created>
  <dcterms:modified xsi:type="dcterms:W3CDTF">2025-11-06T21:33:39Z</dcterms:modified>
</cp:coreProperties>
</file>